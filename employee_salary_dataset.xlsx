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C:\Users\sneha\OneDrive\Desktop\my cv projects\Employee Compensation &amp; Salary Analytics Dashboard Using Excel\"/>
    </mc:Choice>
  </mc:AlternateContent>
  <xr:revisionPtr revIDLastSave="0" documentId="13_ncr:1_{9635E564-818D-487E-B46E-B65E0BEAF274}" xr6:coauthVersionLast="47" xr6:coauthVersionMax="47" xr10:uidLastSave="{00000000-0000-0000-0000-000000000000}"/>
  <bookViews>
    <workbookView xWindow="-108" yWindow="-108" windowWidth="23256" windowHeight="12456" firstSheet="4" activeTab="6" xr2:uid="{C9F159B5-5196-4A42-ADF8-8307EF71DD4D}"/>
  </bookViews>
  <sheets>
    <sheet name="employee_salary_dataset" sheetId="1" r:id="rId1"/>
    <sheet name="Raw_Data" sheetId="2" r:id="rId2"/>
    <sheet name="Data Audit" sheetId="6" r:id="rId3"/>
    <sheet name="Data Dictionary" sheetId="8" r:id="rId4"/>
    <sheet name="Exploratory analysis sheet" sheetId="18" r:id="rId5"/>
    <sheet name="Dashboard_Data" sheetId="7" r:id="rId6"/>
    <sheet name="Dashboard" sheetId="19" r:id="rId7"/>
  </sheets>
  <definedNames>
    <definedName name="Slicer_City">#N/A</definedName>
    <definedName name="Slicer_Department">#N/A</definedName>
    <definedName name="Slicer_Education_Level">#N/A</definedName>
    <definedName name="Slicer_Gender">#N/A</definedName>
  </definedNames>
  <calcPr calcId="191029"/>
  <pivotCaches>
    <pivotCache cacheId="0" r:id="rId8"/>
  </pivotCaches>
  <extLst>
    <ext xmlns:x14="http://schemas.microsoft.com/office/spreadsheetml/2009/9/main" uri="{BBE1A952-AA13-448e-AADC-164F8A28A991}">
      <x14:slicerCaches>
        <x14:slicerCache r:id="rId9"/>
        <x14:slicerCache r:id="rId10"/>
        <x14:slicerCache r:id="rId11"/>
        <x14:slicerCache r:id="rId12"/>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7" i="7" l="1"/>
  <c r="S3" i="19" s="1"/>
  <c r="C6" i="7"/>
  <c r="C8" i="7"/>
  <c r="C9" i="7"/>
  <c r="W3" i="19" s="1"/>
  <c r="U3" i="19"/>
  <c r="M3" i="19"/>
  <c r="I4" i="7"/>
  <c r="G15" i="7"/>
  <c r="G14" i="7"/>
  <c r="G13" i="7"/>
  <c r="C14" i="7"/>
  <c r="C13" i="7"/>
  <c r="M8" i="7"/>
  <c r="M7" i="7"/>
  <c r="M6" i="7"/>
  <c r="M5" i="7"/>
  <c r="M4" i="7"/>
  <c r="I8" i="7"/>
  <c r="I7" i="7"/>
  <c r="I6" i="7"/>
  <c r="I5" i="7"/>
  <c r="H8" i="7"/>
  <c r="H7" i="7"/>
  <c r="H6" i="7"/>
  <c r="H5" i="7"/>
  <c r="H4" i="7"/>
  <c r="G8" i="7"/>
  <c r="G7" i="7"/>
  <c r="G6" i="7"/>
  <c r="G5" i="7"/>
  <c r="G4" i="7"/>
  <c r="Q3" i="19"/>
  <c r="C5" i="7"/>
  <c r="O3" i="19" s="1"/>
  <c r="J2" i="2"/>
  <c r="L16" i="7" s="1"/>
  <c r="J3" i="2"/>
  <c r="J4" i="2"/>
  <c r="J5" i="2"/>
  <c r="J6" i="2"/>
  <c r="J7" i="2"/>
  <c r="J8" i="2"/>
  <c r="J9" i="2"/>
  <c r="J10" i="2"/>
  <c r="J11" i="2"/>
  <c r="J12" i="2"/>
  <c r="J13" i="2"/>
  <c r="J14" i="2"/>
  <c r="J15" i="2"/>
  <c r="J16" i="2"/>
  <c r="J17" i="2"/>
  <c r="J18" i="2"/>
  <c r="J19" i="2"/>
  <c r="J20" i="2"/>
  <c r="J21" i="2"/>
  <c r="J22" i="2"/>
  <c r="J23" i="2"/>
  <c r="J24" i="2"/>
  <c r="J25" i="2"/>
  <c r="J26" i="2"/>
  <c r="J27" i="2"/>
  <c r="J28" i="2"/>
  <c r="J29" i="2"/>
  <c r="J30" i="2"/>
  <c r="J31" i="2"/>
  <c r="J32" i="2"/>
  <c r="J33" i="2"/>
  <c r="J34" i="2"/>
  <c r="J35" i="2"/>
  <c r="J36" i="2"/>
  <c r="J37" i="2"/>
  <c r="J38" i="2"/>
  <c r="J39" i="2"/>
  <c r="J40" i="2"/>
  <c r="J41" i="2"/>
  <c r="J42" i="2"/>
  <c r="J43" i="2"/>
  <c r="J44" i="2"/>
  <c r="J45" i="2"/>
  <c r="J46" i="2"/>
  <c r="J47" i="2"/>
  <c r="J48" i="2"/>
  <c r="J49" i="2"/>
  <c r="J50" i="2"/>
  <c r="J51" i="2"/>
  <c r="K5" i="6"/>
  <c r="K4" i="6"/>
  <c r="K3" i="6"/>
  <c r="L13" i="7" l="1"/>
  <c r="L14" i="7"/>
  <c r="L15" i="7"/>
</calcChain>
</file>

<file path=xl/sharedStrings.xml><?xml version="1.0" encoding="utf-8"?>
<sst xmlns="http://schemas.openxmlformats.org/spreadsheetml/2006/main" count="660" uniqueCount="133">
  <si>
    <t>EmployeeID</t>
  </si>
  <si>
    <t>Name</t>
  </si>
  <si>
    <t>Department</t>
  </si>
  <si>
    <t>Experience_Years</t>
  </si>
  <si>
    <t>Education_Level</t>
  </si>
  <si>
    <t>Age</t>
  </si>
  <si>
    <t>Gender</t>
  </si>
  <si>
    <t>City</t>
  </si>
  <si>
    <t>Monthly_Salary</t>
  </si>
  <si>
    <t>Employee_1</t>
  </si>
  <si>
    <t>Marketing</t>
  </si>
  <si>
    <t>Master</t>
  </si>
  <si>
    <t>Female</t>
  </si>
  <si>
    <t>Delhi</t>
  </si>
  <si>
    <t>Employee_2</t>
  </si>
  <si>
    <t>Operations</t>
  </si>
  <si>
    <t>Bachelor</t>
  </si>
  <si>
    <t>Bangalore</t>
  </si>
  <si>
    <t>Employee_3</t>
  </si>
  <si>
    <t>IT</t>
  </si>
  <si>
    <t>High School</t>
  </si>
  <si>
    <t>Hyderabad</t>
  </si>
  <si>
    <t>Employee_4</t>
  </si>
  <si>
    <t>PhD</t>
  </si>
  <si>
    <t>Male</t>
  </si>
  <si>
    <t>Employee_5</t>
  </si>
  <si>
    <t>Employee_6</t>
  </si>
  <si>
    <t>Finance</t>
  </si>
  <si>
    <t>Mumbai</t>
  </si>
  <si>
    <t>Employee_7</t>
  </si>
  <si>
    <t>Employee_8</t>
  </si>
  <si>
    <t>Employee_9</t>
  </si>
  <si>
    <t>Employee_10</t>
  </si>
  <si>
    <t>Employee_11</t>
  </si>
  <si>
    <t>Employee_12</t>
  </si>
  <si>
    <t>Employee_13</t>
  </si>
  <si>
    <t>Employee_14</t>
  </si>
  <si>
    <t>Employee_15</t>
  </si>
  <si>
    <t>Employee_16</t>
  </si>
  <si>
    <t>Employee_17</t>
  </si>
  <si>
    <t>Employee_18</t>
  </si>
  <si>
    <t>Chennai</t>
  </si>
  <si>
    <t>Employee_19</t>
  </si>
  <si>
    <t>HR</t>
  </si>
  <si>
    <t>Employee_20</t>
  </si>
  <si>
    <t>Employee_21</t>
  </si>
  <si>
    <t>Employee_22</t>
  </si>
  <si>
    <t>Employee_23</t>
  </si>
  <si>
    <t>Employee_24</t>
  </si>
  <si>
    <t>Employee_25</t>
  </si>
  <si>
    <t>Employee_26</t>
  </si>
  <si>
    <t>Employee_27</t>
  </si>
  <si>
    <t>Employee_28</t>
  </si>
  <si>
    <t>Employee_29</t>
  </si>
  <si>
    <t>Employee_30</t>
  </si>
  <si>
    <t>Employee_31</t>
  </si>
  <si>
    <t>Employee_32</t>
  </si>
  <si>
    <t>Employee_33</t>
  </si>
  <si>
    <t>Employee_34</t>
  </si>
  <si>
    <t>Employee_35</t>
  </si>
  <si>
    <t>Employee_36</t>
  </si>
  <si>
    <t>Employee_37</t>
  </si>
  <si>
    <t>Employee_38</t>
  </si>
  <si>
    <t>Employee_39</t>
  </si>
  <si>
    <t>Employee_40</t>
  </si>
  <si>
    <t>Employee_41</t>
  </si>
  <si>
    <t>Employee_42</t>
  </si>
  <si>
    <t>Employee_43</t>
  </si>
  <si>
    <t>Employee_44</t>
  </si>
  <si>
    <t>Employee_45</t>
  </si>
  <si>
    <t>Employee_46</t>
  </si>
  <si>
    <t>Employee_47</t>
  </si>
  <si>
    <t>Employee_48</t>
  </si>
  <si>
    <t>Employee_49</t>
  </si>
  <si>
    <t>Employee_50</t>
  </si>
  <si>
    <t>Row Labels</t>
  </si>
  <si>
    <t>Grand Total</t>
  </si>
  <si>
    <t>Sum of Monthly_Salary</t>
  </si>
  <si>
    <t>Average of Monthly_Salary</t>
  </si>
  <si>
    <t>Count of EmployeeID</t>
  </si>
  <si>
    <t>Column Labels</t>
  </si>
  <si>
    <t>Highest salary</t>
  </si>
  <si>
    <t>Lowest salary</t>
  </si>
  <si>
    <t>Average Salary</t>
  </si>
  <si>
    <t>Column</t>
  </si>
  <si>
    <t>Description</t>
  </si>
  <si>
    <t>Unique employee identifier</t>
  </si>
  <si>
    <t>Employee department</t>
  </si>
  <si>
    <t>Years of experience</t>
  </si>
  <si>
    <t>Highest qualification</t>
  </si>
  <si>
    <t>Work location</t>
  </si>
  <si>
    <t>Monthly employee salary</t>
  </si>
  <si>
    <t>Experience_Group</t>
  </si>
  <si>
    <t>Expert</t>
  </si>
  <si>
    <t>Junior</t>
  </si>
  <si>
    <t>Mid-Level</t>
  </si>
  <si>
    <t>Senior</t>
  </si>
  <si>
    <t>Departmental Compensation &amp; Workforce Analysis</t>
  </si>
  <si>
    <t>Department vs. Total Monthly Payroll Cost</t>
  </si>
  <si>
    <t>Geographic Compensation Trends</t>
  </si>
  <si>
    <t>Workforce Diversity &amp; Pay Equity Check</t>
  </si>
  <si>
    <t>Qualifications &amp; Talent Metrics</t>
  </si>
  <si>
    <t>KPI</t>
  </si>
  <si>
    <t>Value</t>
  </si>
  <si>
    <t>Total Employees</t>
  </si>
  <si>
    <t>Total Payroll</t>
  </si>
  <si>
    <t>Highest Salary</t>
  </si>
  <si>
    <t>Lowest Salary</t>
  </si>
  <si>
    <t>Average Experience</t>
  </si>
  <si>
    <t>KPI Table</t>
  </si>
  <si>
    <t>Department Analysis Table</t>
  </si>
  <si>
    <t>Avg Salary</t>
  </si>
  <si>
    <t>Headcount</t>
  </si>
  <si>
    <t>Payroll</t>
  </si>
  <si>
    <t>City Analysis Table</t>
  </si>
  <si>
    <t>Gender Analysis Table</t>
  </si>
  <si>
    <t>Education Level</t>
  </si>
  <si>
    <t>Bachelor's</t>
  </si>
  <si>
    <t>Master's</t>
  </si>
  <si>
    <t>Experience Group</t>
  </si>
  <si>
    <t>Insight No</t>
  </si>
  <si>
    <t>Insight</t>
  </si>
  <si>
    <t>Marketing has the highest average salary</t>
  </si>
  <si>
    <t>Bangalore offers the highest compensation</t>
  </si>
  <si>
    <t>Master's degree holders earn the highest salaries</t>
  </si>
  <si>
    <t>Salary increases with experience</t>
  </si>
  <si>
    <t>Moderate gender salary variation exists</t>
  </si>
  <si>
    <t>Education Analysis Table</t>
  </si>
  <si>
    <t>Experience Analysis Table</t>
  </si>
  <si>
    <t>Key Insights Box</t>
  </si>
  <si>
    <t>Employee Compensation &amp; Salary Analytics Dashboard</t>
  </si>
  <si>
    <t>Analyzing Workforce Compensation Patterns Across Departments, Cities, Education Levels and Experience Groups</t>
  </si>
  <si>
    <t>Avg Experience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</si>
</sst>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4" formatCode="_(&quot;$&quot;* #,##0.00_);_(&quot;$&quot;* \(#,##0.00\);_(&quot;$&quot;* &quot;-&quot;??_);_(@_)"/>
    <numFmt numFmtId="43" formatCode="_(* #,##0.00_);_(* \(#,##0.00\);_(* &quot;-&quot;??_);_(@_)"/>
    <numFmt numFmtId="164" formatCode="_ [$₹-439]* #,##0.00_ ;_ [$₹-439]* \-#,##0.00_ ;_ [$₹-439]* &quot;-&quot;??_ ;_ @_ "/>
    <numFmt numFmtId="165" formatCode="[$₹-3809]#.00,,&quot;M&quot;"/>
  </numFmts>
  <fonts count="20"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b/>
      <sz val="24"/>
      <color theme="1"/>
      <name val="Aptos Narrow"/>
      <family val="2"/>
      <scheme val="minor"/>
    </font>
    <font>
      <sz val="14"/>
      <color theme="1"/>
      <name val="Aptos Narrow"/>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CFDFE9"/>
        <bgColor indexed="64"/>
      </patternFill>
    </fill>
  </fills>
  <borders count="15">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s>
  <cellStyleXfs count="44">
    <xf numFmtId="0" fontId="0" fillId="0" borderId="0"/>
    <xf numFmtId="43" fontId="1" fillId="0" borderId="0" applyFont="0" applyFill="0" applyBorder="0" applyAlignment="0" applyProtection="0"/>
    <xf numFmtId="44" fontId="1" fillId="0" borderId="0" applyFont="0" applyFill="0" applyBorder="0" applyAlignment="0" applyProtection="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4">
    <xf numFmtId="0" fontId="0" fillId="0" borderId="0" xfId="0"/>
    <xf numFmtId="0" fontId="0" fillId="0" borderId="0" xfId="0" pivotButton="1"/>
    <xf numFmtId="0" fontId="0" fillId="0" borderId="0" xfId="0" applyAlignment="1">
      <alignment horizontal="left"/>
    </xf>
    <xf numFmtId="0" fontId="16" fillId="0" borderId="0" xfId="0" applyFont="1" applyAlignment="1">
      <alignment horizontal="center" vertical="center" wrapText="1"/>
    </xf>
    <xf numFmtId="0" fontId="0" fillId="0" borderId="0" xfId="0" applyAlignment="1">
      <alignment vertical="center" wrapText="1"/>
    </xf>
    <xf numFmtId="0" fontId="16" fillId="0" borderId="10" xfId="0" applyFont="1" applyBorder="1" applyAlignment="1">
      <alignment horizontal="center" vertical="center" wrapText="1"/>
    </xf>
    <xf numFmtId="0" fontId="0" fillId="0" borderId="10" xfId="0" applyBorder="1" applyAlignment="1">
      <alignment vertical="center" wrapText="1"/>
    </xf>
    <xf numFmtId="43" fontId="0" fillId="0" borderId="0" xfId="1" applyFont="1" applyAlignment="1">
      <alignment vertical="center" wrapText="1"/>
    </xf>
    <xf numFmtId="0" fontId="0" fillId="0" borderId="0" xfId="0" applyAlignment="1">
      <alignment horizontal="center" vertical="center" wrapText="1"/>
    </xf>
    <xf numFmtId="0" fontId="0" fillId="0" borderId="0" xfId="0" applyNumberFormat="1"/>
    <xf numFmtId="0" fontId="18" fillId="0" borderId="0" xfId="0" applyFont="1" applyAlignment="1"/>
    <xf numFmtId="0" fontId="0" fillId="0" borderId="0" xfId="0" applyAlignment="1"/>
    <xf numFmtId="0" fontId="19" fillId="0" borderId="0" xfId="0" applyFont="1" applyBorder="1" applyAlignment="1"/>
    <xf numFmtId="0" fontId="0" fillId="0" borderId="0" xfId="0" applyBorder="1" applyAlignment="1">
      <alignment horizontal="center"/>
    </xf>
    <xf numFmtId="0" fontId="0" fillId="0" borderId="0" xfId="0" applyBorder="1"/>
    <xf numFmtId="164" fontId="19" fillId="0" borderId="0" xfId="2" applyNumberFormat="1" applyFont="1" applyBorder="1" applyAlignment="1"/>
    <xf numFmtId="165" fontId="0" fillId="0" borderId="0" xfId="1" applyNumberFormat="1" applyFont="1" applyAlignment="1">
      <alignment vertical="center" wrapText="1"/>
    </xf>
    <xf numFmtId="165" fontId="0" fillId="0" borderId="0" xfId="0" applyNumberFormat="1" applyAlignment="1">
      <alignment vertical="center" wrapText="1"/>
    </xf>
    <xf numFmtId="0" fontId="19" fillId="33" borderId="11" xfId="0" applyFont="1" applyFill="1" applyBorder="1" applyAlignment="1">
      <alignment horizontal="center"/>
    </xf>
    <xf numFmtId="0" fontId="19" fillId="33" borderId="12" xfId="0" applyFont="1" applyFill="1" applyBorder="1" applyAlignment="1">
      <alignment horizontal="center"/>
    </xf>
    <xf numFmtId="0" fontId="19" fillId="33" borderId="13" xfId="0" applyFont="1" applyFill="1" applyBorder="1" applyAlignment="1">
      <alignment horizontal="center"/>
    </xf>
    <xf numFmtId="0" fontId="19" fillId="33" borderId="14" xfId="0" applyFont="1" applyFill="1" applyBorder="1" applyAlignment="1">
      <alignment horizontal="center"/>
    </xf>
    <xf numFmtId="164" fontId="19" fillId="33" borderId="13" xfId="2" applyNumberFormat="1" applyFont="1" applyFill="1" applyBorder="1" applyAlignment="1">
      <alignment horizontal="center"/>
    </xf>
    <xf numFmtId="164" fontId="19" fillId="33" borderId="14" xfId="2" applyNumberFormat="1" applyFont="1" applyFill="1" applyBorder="1" applyAlignment="1">
      <alignment horizontal="center"/>
    </xf>
  </cellXfs>
  <cellStyles count="44">
    <cellStyle name="20% - Accent1" xfId="21" builtinId="30" customBuiltin="1"/>
    <cellStyle name="20% - Accent2" xfId="25" builtinId="34" customBuiltin="1"/>
    <cellStyle name="20% - Accent3" xfId="29" builtinId="38" customBuiltin="1"/>
    <cellStyle name="20% - Accent4" xfId="33" builtinId="42" customBuiltin="1"/>
    <cellStyle name="20% - Accent5" xfId="37" builtinId="46" customBuiltin="1"/>
    <cellStyle name="20% - Accent6" xfId="41" builtinId="50" customBuiltin="1"/>
    <cellStyle name="40% - Accent1" xfId="22" builtinId="31" customBuiltin="1"/>
    <cellStyle name="40% - Accent2" xfId="26" builtinId="35" customBuiltin="1"/>
    <cellStyle name="40% - Accent3" xfId="30" builtinId="39" customBuiltin="1"/>
    <cellStyle name="40% - Accent4" xfId="34" builtinId="43" customBuiltin="1"/>
    <cellStyle name="40% - Accent5" xfId="38" builtinId="47" customBuiltin="1"/>
    <cellStyle name="40% - Accent6" xfId="42" builtinId="51" customBuiltin="1"/>
    <cellStyle name="60% - Accent1" xfId="23" builtinId="32" customBuiltin="1"/>
    <cellStyle name="60% - Accent2" xfId="27" builtinId="36" customBuiltin="1"/>
    <cellStyle name="60% - Accent3" xfId="31" builtinId="40" customBuiltin="1"/>
    <cellStyle name="60% - Accent4" xfId="35" builtinId="44" customBuiltin="1"/>
    <cellStyle name="60% - Accent5" xfId="39" builtinId="48" customBuiltin="1"/>
    <cellStyle name="60% - Accent6" xfId="43" builtinId="52" customBuiltin="1"/>
    <cellStyle name="Accent1" xfId="20" builtinId="29" customBuiltin="1"/>
    <cellStyle name="Accent2" xfId="24" builtinId="33" customBuiltin="1"/>
    <cellStyle name="Accent3" xfId="28" builtinId="37" customBuiltin="1"/>
    <cellStyle name="Accent4" xfId="32" builtinId="41" customBuiltin="1"/>
    <cellStyle name="Accent5" xfId="36" builtinId="45" customBuiltin="1"/>
    <cellStyle name="Accent6" xfId="40" builtinId="49" customBuiltin="1"/>
    <cellStyle name="Bad" xfId="9" builtinId="27" customBuiltin="1"/>
    <cellStyle name="Calculation" xfId="13" builtinId="22" customBuiltin="1"/>
    <cellStyle name="Check Cell" xfId="15" builtinId="23" customBuiltin="1"/>
    <cellStyle name="Comma" xfId="1" builtinId="3"/>
    <cellStyle name="Currency" xfId="2" builtinId="4"/>
    <cellStyle name="Explanatory Text" xfId="18" builtinId="53" customBuiltin="1"/>
    <cellStyle name="Good" xfId="8" builtinId="26" customBuiltin="1"/>
    <cellStyle name="Heading 1" xfId="4" builtinId="16" customBuiltin="1"/>
    <cellStyle name="Heading 2" xfId="5" builtinId="17" customBuiltin="1"/>
    <cellStyle name="Heading 3" xfId="6" builtinId="18" customBuiltin="1"/>
    <cellStyle name="Heading 4" xfId="7" builtinId="19" customBuiltin="1"/>
    <cellStyle name="Input" xfId="11" builtinId="20" customBuiltin="1"/>
    <cellStyle name="Linked Cell" xfId="14" builtinId="24" customBuiltin="1"/>
    <cellStyle name="Neutral" xfId="10" builtinId="28" customBuiltin="1"/>
    <cellStyle name="Normal" xfId="0" builtinId="0"/>
    <cellStyle name="Note" xfId="17" builtinId="10" customBuiltin="1"/>
    <cellStyle name="Output" xfId="12" builtinId="21" customBuiltin="1"/>
    <cellStyle name="Title" xfId="3" builtinId="15" customBuiltin="1"/>
    <cellStyle name="Total" xfId="19" builtinId="25" customBuiltin="1"/>
    <cellStyle name="Warning Text" xfId="16" builtinId="11" customBuiltin="1"/>
  </cellStyles>
  <dxfs count="2">
    <dxf>
      <font>
        <color rgb="FF9C0006"/>
      </font>
      <fill>
        <patternFill>
          <bgColor rgb="FFFFC7CE"/>
        </patternFill>
      </fill>
    </dxf>
    <dxf>
      <numFmt numFmtId="0" formatCode="General"/>
    </dxf>
  </dxfs>
  <tableStyles count="0" defaultTableStyle="TableStyleMedium2" defaultPivotStyle="PivotStyleLight16"/>
  <colors>
    <mruColors>
      <color rgb="FFCFDFE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4.xml"/><Relationship Id="rId17" Type="http://schemas.openxmlformats.org/officeDocument/2006/relationships/calcChain" Target="calcChain.xml"/><Relationship Id="rId2" Type="http://schemas.openxmlformats.org/officeDocument/2006/relationships/worksheet" Target="worksheets/sheet2.xml"/><Relationship Id="rId16" Type="http://schemas.microsoft.com/office/2017/10/relationships/person" Target="persons/perso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lotArea>
      <c:layout/>
      <c:barChart>
        <c:barDir val="col"/>
        <c:grouping val="clustered"/>
        <c:varyColors val="0"/>
        <c:ser>
          <c:idx val="0"/>
          <c:order val="0"/>
          <c:tx>
            <c:strRef>
              <c:f>Dashboard_Data!$I$3</c:f>
              <c:strCache>
                <c:ptCount val="1"/>
                <c:pt idx="0">
                  <c:v>Payroll</c:v>
                </c:pt>
              </c:strCache>
            </c:strRef>
          </c:tx>
          <c:spPr>
            <a:pattFill prst="ltUpDiag">
              <a:fgClr>
                <a:schemeClr val="accent1"/>
              </a:fgClr>
              <a:bgClr>
                <a:schemeClr val="lt1"/>
              </a:bgClr>
            </a:pattFill>
            <a:ln>
              <a:noFill/>
            </a:ln>
            <a:effectLst/>
          </c:spPr>
          <c:invertIfNegative val="0"/>
          <c:cat>
            <c:strRef>
              <c:f>Dashboard_Data!$F$4:$F$8</c:f>
              <c:strCache>
                <c:ptCount val="5"/>
                <c:pt idx="0">
                  <c:v>HR</c:v>
                </c:pt>
                <c:pt idx="1">
                  <c:v>IT</c:v>
                </c:pt>
                <c:pt idx="2">
                  <c:v>Finance</c:v>
                </c:pt>
                <c:pt idx="3">
                  <c:v>Marketing</c:v>
                </c:pt>
                <c:pt idx="4">
                  <c:v>Operations</c:v>
                </c:pt>
              </c:strCache>
            </c:strRef>
          </c:cat>
          <c:val>
            <c:numRef>
              <c:f>Dashboard_Data!$I$4:$I$8</c:f>
              <c:numCache>
                <c:formatCode>[$₹-3809]#.00,,"M"</c:formatCode>
                <c:ptCount val="5"/>
                <c:pt idx="0">
                  <c:v>580616</c:v>
                </c:pt>
                <c:pt idx="1">
                  <c:v>765205</c:v>
                </c:pt>
                <c:pt idx="2">
                  <c:v>672619</c:v>
                </c:pt>
                <c:pt idx="3">
                  <c:v>1253601</c:v>
                </c:pt>
                <c:pt idx="4">
                  <c:v>842399</c:v>
                </c:pt>
              </c:numCache>
            </c:numRef>
          </c:val>
          <c:extLst>
            <c:ext xmlns:c16="http://schemas.microsoft.com/office/drawing/2014/chart" uri="{C3380CC4-5D6E-409C-BE32-E72D297353CC}">
              <c16:uniqueId val="{00000000-EB38-41F9-BFA9-87141BC997C6}"/>
            </c:ext>
          </c:extLst>
        </c:ser>
        <c:dLbls>
          <c:showLegendKey val="0"/>
          <c:showVal val="0"/>
          <c:showCatName val="0"/>
          <c:showSerName val="0"/>
          <c:showPercent val="0"/>
          <c:showBubbleSize val="0"/>
        </c:dLbls>
        <c:gapWidth val="269"/>
        <c:overlap val="-20"/>
        <c:axId val="1474470752"/>
        <c:axId val="1474459712"/>
      </c:barChart>
      <c:catAx>
        <c:axId val="1474470752"/>
        <c:scaling>
          <c:orientation val="minMax"/>
        </c:scaling>
        <c:delete val="0"/>
        <c:axPos val="b"/>
        <c:numFmt formatCode="#,##0.00" sourceLinked="0"/>
        <c:majorTickMark val="out"/>
        <c:minorTickMark val="none"/>
        <c:tickLblPos val="nextTo"/>
        <c:spPr>
          <a:noFill/>
          <a:ln w="3175" cap="flat" cmpd="sng" algn="ctr">
            <a:solidFill>
              <a:schemeClr val="accent1">
                <a:lumMod val="60000"/>
                <a:lumOff val="40000"/>
              </a:schemeClr>
            </a:solidFill>
            <a:round/>
          </a:ln>
          <a:effectLst/>
        </c:spPr>
        <c:txPr>
          <a:bodyPr rot="-60000000" spcFirstLastPara="1" vertOverflow="ellipsis" vert="horz" wrap="square" anchor="ctr" anchorCtr="0"/>
          <a:lstStyle/>
          <a:p>
            <a:pPr>
              <a:defRPr sz="800" b="0" i="0" u="none" strike="noStrike" kern="1200" cap="all" spc="150" normalizeH="0" baseline="0">
                <a:solidFill>
                  <a:schemeClr val="lt1"/>
                </a:solidFill>
                <a:latin typeface="+mn-lt"/>
                <a:ea typeface="+mn-ea"/>
                <a:cs typeface="+mn-cs"/>
              </a:defRPr>
            </a:pPr>
            <a:endParaRPr lang="en-US"/>
          </a:p>
        </c:txPr>
        <c:crossAx val="1474459712"/>
        <c:crosses val="autoZero"/>
        <c:auto val="1"/>
        <c:lblAlgn val="ctr"/>
        <c:lblOffset val="100"/>
        <c:noMultiLvlLbl val="0"/>
      </c:catAx>
      <c:valAx>
        <c:axId val="1474459712"/>
        <c:scaling>
          <c:orientation val="minMax"/>
        </c:scaling>
        <c:delete val="0"/>
        <c:axPos val="l"/>
        <c:numFmt formatCode="[$₹-3809]#.00,,&quot;M&quot;"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474470752"/>
        <c:crosses val="autoZero"/>
        <c:crossBetween val="between"/>
      </c:valAx>
      <c:dTable>
        <c:showHorzBorder val="1"/>
        <c:showVertBorder val="1"/>
        <c:showOutline val="1"/>
        <c:showKeys val="1"/>
        <c:spPr>
          <a:noFill/>
          <a:ln w="9525">
            <a:solidFill>
              <a:schemeClr val="accent1">
                <a:lumMod val="60000"/>
                <a:lumOff val="40000"/>
              </a:schemeClr>
            </a:solidFill>
          </a:ln>
          <a:effectLst/>
        </c:spPr>
        <c:txPr>
          <a:bodyPr rot="0" spcFirstLastPara="1" vertOverflow="ellipsis" vert="horz" wrap="square" anchor="ctr" anchorCtr="1"/>
          <a:lstStyle/>
          <a:p>
            <a:pPr rtl="0">
              <a:defRPr sz="900" b="0" i="0" u="none" strike="noStrike" kern="1200" baseline="0">
                <a:solidFill>
                  <a:schemeClr val="lt1"/>
                </a:solidFill>
                <a:latin typeface="+mn-lt"/>
                <a:ea typeface="+mn-ea"/>
                <a:cs typeface="+mn-cs"/>
              </a:defRPr>
            </a:pPr>
            <a:endParaRPr lang="en-US"/>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lotArea>
      <c:layout/>
      <c:barChart>
        <c:barDir val="col"/>
        <c:grouping val="clustered"/>
        <c:varyColors val="0"/>
        <c:ser>
          <c:idx val="0"/>
          <c:order val="0"/>
          <c:tx>
            <c:strRef>
              <c:f>Dashboard_Data!$G$3</c:f>
              <c:strCache>
                <c:ptCount val="1"/>
                <c:pt idx="0">
                  <c:v>Avg Salary</c:v>
                </c:pt>
              </c:strCache>
            </c:strRef>
          </c:tx>
          <c:spPr>
            <a:pattFill prst="ltUpDiag">
              <a:fgClr>
                <a:schemeClr val="accent1"/>
              </a:fgClr>
              <a:bgClr>
                <a:schemeClr val="lt1"/>
              </a:bgClr>
            </a:pattFill>
            <a:ln>
              <a:noFill/>
            </a:ln>
            <a:effectLst/>
          </c:spPr>
          <c:invertIfNegative val="0"/>
          <c:cat>
            <c:strRef>
              <c:f>Dashboard_Data!$F$4:$F$8</c:f>
              <c:strCache>
                <c:ptCount val="5"/>
                <c:pt idx="0">
                  <c:v>HR</c:v>
                </c:pt>
                <c:pt idx="1">
                  <c:v>IT</c:v>
                </c:pt>
                <c:pt idx="2">
                  <c:v>Finance</c:v>
                </c:pt>
                <c:pt idx="3">
                  <c:v>Marketing</c:v>
                </c:pt>
                <c:pt idx="4">
                  <c:v>Operations</c:v>
                </c:pt>
              </c:strCache>
            </c:strRef>
          </c:cat>
          <c:val>
            <c:numRef>
              <c:f>Dashboard_Data!$G$4:$G$8</c:f>
              <c:numCache>
                <c:formatCode>[$₹-3809]#.00,,"M"</c:formatCode>
                <c:ptCount val="5"/>
                <c:pt idx="0">
                  <c:v>82945.142857142855</c:v>
                </c:pt>
                <c:pt idx="1">
                  <c:v>76520.5</c:v>
                </c:pt>
                <c:pt idx="2">
                  <c:v>67261.899999999994</c:v>
                </c:pt>
                <c:pt idx="3">
                  <c:v>96430.846153846156</c:v>
                </c:pt>
                <c:pt idx="4">
                  <c:v>84239.9</c:v>
                </c:pt>
              </c:numCache>
            </c:numRef>
          </c:val>
          <c:extLst>
            <c:ext xmlns:c16="http://schemas.microsoft.com/office/drawing/2014/chart" uri="{C3380CC4-5D6E-409C-BE32-E72D297353CC}">
              <c16:uniqueId val="{00000000-D889-4AA4-A5F2-BD729855A286}"/>
            </c:ext>
          </c:extLst>
        </c:ser>
        <c:dLbls>
          <c:showLegendKey val="0"/>
          <c:showVal val="0"/>
          <c:showCatName val="0"/>
          <c:showSerName val="0"/>
          <c:showPercent val="0"/>
          <c:showBubbleSize val="0"/>
        </c:dLbls>
        <c:gapWidth val="269"/>
        <c:overlap val="-20"/>
        <c:axId val="906210960"/>
        <c:axId val="906205200"/>
      </c:barChart>
      <c:catAx>
        <c:axId val="906210960"/>
        <c:scaling>
          <c:orientation val="minMax"/>
        </c:scaling>
        <c:delete val="0"/>
        <c:axPos val="b"/>
        <c:majorGridlines>
          <c:spPr>
            <a:ln w="9525" cap="flat" cmpd="sng" algn="ctr">
              <a:solidFill>
                <a:schemeClr val="lt1">
                  <a:alpha val="25000"/>
                </a:schemeClr>
              </a:solidFill>
              <a:round/>
            </a:ln>
            <a:effectLst/>
          </c:spPr>
        </c:majorGridlines>
        <c:numFmt formatCode="General" sourceLinked="1"/>
        <c:majorTickMark val="none"/>
        <c:minorTickMark val="none"/>
        <c:tickLblPos val="nextTo"/>
        <c:spPr>
          <a:noFill/>
          <a:ln w="3175" cap="flat" cmpd="sng" algn="ctr">
            <a:solidFill>
              <a:schemeClr val="accent1">
                <a:lumMod val="60000"/>
                <a:lumOff val="40000"/>
              </a:schemeClr>
            </a:solidFill>
            <a:round/>
          </a:ln>
          <a:effectLst/>
        </c:spPr>
        <c:txPr>
          <a:bodyPr rot="-60000000" spcFirstLastPara="1" vertOverflow="ellipsis" vert="horz" wrap="square" anchor="ctr" anchorCtr="1"/>
          <a:lstStyle/>
          <a:p>
            <a:pPr>
              <a:defRPr sz="800" b="0" i="0" u="none" strike="noStrike" kern="1200" cap="all" spc="150" normalizeH="0" baseline="0">
                <a:solidFill>
                  <a:schemeClr val="lt1"/>
                </a:solidFill>
                <a:latin typeface="+mn-lt"/>
                <a:ea typeface="+mn-ea"/>
                <a:cs typeface="+mn-cs"/>
              </a:defRPr>
            </a:pPr>
            <a:endParaRPr lang="en-US"/>
          </a:p>
        </c:txPr>
        <c:crossAx val="906205200"/>
        <c:crosses val="autoZero"/>
        <c:auto val="1"/>
        <c:lblAlgn val="ctr"/>
        <c:lblOffset val="100"/>
        <c:noMultiLvlLbl val="0"/>
      </c:catAx>
      <c:valAx>
        <c:axId val="906205200"/>
        <c:scaling>
          <c:orientation val="minMax"/>
        </c:scaling>
        <c:delete val="0"/>
        <c:axPos val="l"/>
        <c:numFmt formatCode="[$₹-3809]#.00,,&quot;M&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9062109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US" sz="1500" b="1" i="0" u="none" strike="noStrike" cap="all" normalizeH="0" baseline="0"/>
              <a:t>Average Salary by City</a:t>
            </a:r>
            <a:endParaRPr lang="en-US"/>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lotArea>
      <c:layout/>
      <c:barChart>
        <c:barDir val="bar"/>
        <c:grouping val="clustered"/>
        <c:varyColors val="0"/>
        <c:ser>
          <c:idx val="0"/>
          <c:order val="0"/>
          <c:tx>
            <c:strRef>
              <c:f>Dashboard_Data!$M$2:$M$3</c:f>
              <c:strCache>
                <c:ptCount val="2"/>
                <c:pt idx="0">
                  <c:v>City Analysis Table</c:v>
                </c:pt>
                <c:pt idx="1">
                  <c:v>Avg Salary</c:v>
                </c:pt>
              </c:strCache>
            </c:strRef>
          </c:tx>
          <c:spPr>
            <a:pattFill prst="ltUpDiag">
              <a:fgClr>
                <a:schemeClr val="accent1"/>
              </a:fgClr>
              <a:bgClr>
                <a:schemeClr val="lt1"/>
              </a:bgClr>
            </a:pattFill>
            <a:ln>
              <a:noFill/>
            </a:ln>
            <a:effectLst/>
          </c:spPr>
          <c:invertIfNegative val="0"/>
          <c:cat>
            <c:strRef>
              <c:f>Dashboard_Data!$L$4:$L$8</c:f>
              <c:strCache>
                <c:ptCount val="5"/>
                <c:pt idx="0">
                  <c:v>Bangalore</c:v>
                </c:pt>
                <c:pt idx="1">
                  <c:v>Delhi</c:v>
                </c:pt>
                <c:pt idx="2">
                  <c:v>Mumbai</c:v>
                </c:pt>
                <c:pt idx="3">
                  <c:v>Chennai</c:v>
                </c:pt>
                <c:pt idx="4">
                  <c:v>Hyderabad</c:v>
                </c:pt>
              </c:strCache>
            </c:strRef>
          </c:cat>
          <c:val>
            <c:numRef>
              <c:f>Dashboard_Data!$M$4:$M$8</c:f>
              <c:numCache>
                <c:formatCode>[$₹-3809]#.00,,"M"</c:formatCode>
                <c:ptCount val="5"/>
                <c:pt idx="0">
                  <c:v>99004.090909090912</c:v>
                </c:pt>
                <c:pt idx="1">
                  <c:v>93332.46666666666</c:v>
                </c:pt>
                <c:pt idx="2">
                  <c:v>75531.71428571429</c:v>
                </c:pt>
                <c:pt idx="3">
                  <c:v>57379.6</c:v>
                </c:pt>
                <c:pt idx="4">
                  <c:v>67482.333333333328</c:v>
                </c:pt>
              </c:numCache>
            </c:numRef>
          </c:val>
          <c:extLst>
            <c:ext xmlns:c16="http://schemas.microsoft.com/office/drawing/2014/chart" uri="{C3380CC4-5D6E-409C-BE32-E72D297353CC}">
              <c16:uniqueId val="{00000000-AC8E-4B4E-BA1E-535E550C7C78}"/>
            </c:ext>
          </c:extLst>
        </c:ser>
        <c:dLbls>
          <c:showLegendKey val="0"/>
          <c:showVal val="0"/>
          <c:showCatName val="0"/>
          <c:showSerName val="0"/>
          <c:showPercent val="0"/>
          <c:showBubbleSize val="0"/>
        </c:dLbls>
        <c:gapWidth val="269"/>
        <c:overlap val="-20"/>
        <c:axId val="293427232"/>
        <c:axId val="293439232"/>
      </c:barChart>
      <c:catAx>
        <c:axId val="293427232"/>
        <c:scaling>
          <c:orientation val="minMax"/>
        </c:scaling>
        <c:delete val="0"/>
        <c:axPos val="l"/>
        <c:numFmt formatCode="General" sourceLinked="1"/>
        <c:majorTickMark val="none"/>
        <c:minorTickMark val="none"/>
        <c:tickLblPos val="nextTo"/>
        <c:spPr>
          <a:noFill/>
          <a:ln w="3175" cap="flat" cmpd="sng" algn="ctr">
            <a:solidFill>
              <a:schemeClr val="accent1">
                <a:lumMod val="60000"/>
                <a:lumOff val="40000"/>
              </a:schemeClr>
            </a:solidFill>
            <a:round/>
          </a:ln>
          <a:effectLst/>
        </c:spPr>
        <c:txPr>
          <a:bodyPr rot="-60000000" spcFirstLastPara="1" vertOverflow="ellipsis" vert="horz" wrap="square" anchor="ctr" anchorCtr="1"/>
          <a:lstStyle/>
          <a:p>
            <a:pPr>
              <a:defRPr sz="800" b="0" i="0" u="none" strike="noStrike" kern="1200" cap="all" spc="150" normalizeH="0" baseline="0">
                <a:solidFill>
                  <a:schemeClr val="lt1"/>
                </a:solidFill>
                <a:latin typeface="+mn-lt"/>
                <a:ea typeface="+mn-ea"/>
                <a:cs typeface="+mn-cs"/>
              </a:defRPr>
            </a:pPr>
            <a:endParaRPr lang="en-US"/>
          </a:p>
        </c:txPr>
        <c:crossAx val="293439232"/>
        <c:crosses val="autoZero"/>
        <c:auto val="1"/>
        <c:lblAlgn val="ctr"/>
        <c:lblOffset val="100"/>
        <c:noMultiLvlLbl val="0"/>
      </c:catAx>
      <c:valAx>
        <c:axId val="293439232"/>
        <c:scaling>
          <c:orientation val="minMax"/>
        </c:scaling>
        <c:delete val="0"/>
        <c:axPos val="b"/>
        <c:majorGridlines>
          <c:spPr>
            <a:ln w="9525" cap="flat" cmpd="sng" algn="ctr">
              <a:solidFill>
                <a:schemeClr val="lt1">
                  <a:alpha val="25000"/>
                </a:schemeClr>
              </a:solidFill>
              <a:round/>
            </a:ln>
            <a:effectLst/>
          </c:spPr>
        </c:majorGridlines>
        <c:numFmt formatCode="[$₹-3809]#.00,,&quot;M&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2934272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Dashboard_Data!$C$11:$C$12</c:f>
              <c:strCache>
                <c:ptCount val="2"/>
                <c:pt idx="0">
                  <c:v>Gender Analysis Table</c:v>
                </c:pt>
                <c:pt idx="1">
                  <c:v>Avg Salary</c:v>
                </c:pt>
              </c:strCache>
            </c:strRef>
          </c:tx>
          <c:spPr>
            <a:solidFill>
              <a:schemeClr val="accent1"/>
            </a:solidFill>
            <a:ln>
              <a:noFill/>
            </a:ln>
            <a:effectLst/>
          </c:spPr>
          <c:invertIfNegative val="0"/>
          <c:cat>
            <c:strRef>
              <c:f>Dashboard_Data!$B$13:$B$14</c:f>
              <c:strCache>
                <c:ptCount val="2"/>
                <c:pt idx="0">
                  <c:v>Male</c:v>
                </c:pt>
                <c:pt idx="1">
                  <c:v>Female</c:v>
                </c:pt>
              </c:strCache>
            </c:strRef>
          </c:cat>
          <c:val>
            <c:numRef>
              <c:f>Dashboard_Data!$C$13:$C$14</c:f>
              <c:numCache>
                <c:formatCode>[$₹-3809]#.00,,"M"</c:formatCode>
                <c:ptCount val="2"/>
                <c:pt idx="0">
                  <c:v>76398.826086956527</c:v>
                </c:pt>
                <c:pt idx="1">
                  <c:v>87306.185185185182</c:v>
                </c:pt>
              </c:numCache>
            </c:numRef>
          </c:val>
          <c:extLst>
            <c:ext xmlns:c16="http://schemas.microsoft.com/office/drawing/2014/chart" uri="{C3380CC4-5D6E-409C-BE32-E72D297353CC}">
              <c16:uniqueId val="{00000000-13BB-465D-8594-CFF3055BE57B}"/>
            </c:ext>
          </c:extLst>
        </c:ser>
        <c:dLbls>
          <c:showLegendKey val="0"/>
          <c:showVal val="0"/>
          <c:showCatName val="0"/>
          <c:showSerName val="0"/>
          <c:showPercent val="0"/>
          <c:showBubbleSize val="0"/>
        </c:dLbls>
        <c:gapWidth val="219"/>
        <c:overlap val="-27"/>
        <c:axId val="293460352"/>
        <c:axId val="293456992"/>
      </c:barChart>
      <c:catAx>
        <c:axId val="2934603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3456992"/>
        <c:crosses val="autoZero"/>
        <c:auto val="1"/>
        <c:lblAlgn val="ctr"/>
        <c:lblOffset val="100"/>
        <c:noMultiLvlLbl val="0"/>
      </c:catAx>
      <c:valAx>
        <c:axId val="293456992"/>
        <c:scaling>
          <c:orientation val="minMax"/>
        </c:scaling>
        <c:delete val="0"/>
        <c:axPos val="l"/>
        <c:majorGridlines>
          <c:spPr>
            <a:ln w="9525" cap="flat" cmpd="sng" algn="ctr">
              <a:solidFill>
                <a:schemeClr val="tx1">
                  <a:lumMod val="15000"/>
                  <a:lumOff val="85000"/>
                </a:schemeClr>
              </a:solidFill>
              <a:round/>
            </a:ln>
            <a:effectLst/>
          </c:spPr>
        </c:majorGridlines>
        <c:numFmt formatCode="[$₹-3809]#.00,,&quot;M&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34603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r>
              <a:rPr lang="en-US" sz="1800" b="1" i="0" u="none" strike="noStrike" cap="all" baseline="0"/>
              <a:t>Average Salary by Education Level</a:t>
            </a:r>
            <a:endParaRPr lang="en-US"/>
          </a:p>
        </c:rich>
      </c:tx>
      <c:overlay val="0"/>
      <c:spPr>
        <a:noFill/>
        <a:ln>
          <a:noFill/>
        </a:ln>
        <a:effectLst/>
      </c:spPr>
      <c:txPr>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endParaRPr lang="en-US"/>
        </a:p>
      </c:txPr>
    </c:title>
    <c:autoTitleDeleted val="0"/>
    <c:view3D>
      <c:rotX val="15"/>
      <c:rotY val="20"/>
      <c:depthPercent val="100"/>
      <c:rAngAx val="1"/>
    </c:view3D>
    <c:floor>
      <c:thickness val="0"/>
      <c:spPr>
        <a:noFill/>
        <a:ln w="19050" cap="flat" cmpd="sng" algn="ctr">
          <a:solidFill>
            <a:schemeClr val="tx1">
              <a:lumMod val="25000"/>
              <a:lumOff val="75000"/>
            </a:schemeClr>
          </a:solidFill>
          <a:round/>
        </a:ln>
        <a:effectLst/>
        <a:sp3d contourW="19050">
          <a:contourClr>
            <a:schemeClr val="tx1">
              <a:lumMod val="25000"/>
              <a:lumOff val="75000"/>
            </a:schemeClr>
          </a:contourClr>
        </a:sp3d>
      </c:spPr>
    </c:floor>
    <c:sideWall>
      <c:thickness val="0"/>
      <c:spPr>
        <a:noFill/>
        <a:ln>
          <a:noFill/>
        </a:ln>
        <a:effectLst/>
        <a:sp3d/>
      </c:spPr>
    </c:sideWall>
    <c:backWall>
      <c:thickness val="0"/>
      <c:spPr>
        <a:noFill/>
        <a:ln>
          <a:noFill/>
        </a:ln>
        <a:effectLst/>
        <a:sp3d/>
      </c:spPr>
    </c:backWall>
    <c:plotArea>
      <c:layout/>
      <c:bar3DChart>
        <c:barDir val="bar"/>
        <c:grouping val="stacked"/>
        <c:varyColors val="0"/>
        <c:ser>
          <c:idx val="0"/>
          <c:order val="0"/>
          <c:tx>
            <c:strRef>
              <c:f>Dashboard_Data!$G$11:$G$12</c:f>
              <c:strCache>
                <c:ptCount val="2"/>
                <c:pt idx="0">
                  <c:v>Education Analysis Table</c:v>
                </c:pt>
                <c:pt idx="1">
                  <c:v>Avg Salary</c:v>
                </c:pt>
              </c:strCache>
            </c:strRef>
          </c:tx>
          <c:spPr>
            <a:pattFill prst="ltDnDiag">
              <a:fgClr>
                <a:schemeClr val="accent1"/>
              </a:fgClr>
              <a:bgClr>
                <a:schemeClr val="accent1">
                  <a:lumMod val="20000"/>
                  <a:lumOff val="80000"/>
                </a:schemeClr>
              </a:bgClr>
            </a:pattFill>
            <a:ln>
              <a:solidFill>
                <a:schemeClr val="accent1"/>
              </a:solidFill>
            </a:ln>
            <a:effectLst/>
            <a:sp3d>
              <a:contourClr>
                <a:schemeClr val="accent1"/>
              </a:contourClr>
            </a:sp3d>
          </c:spPr>
          <c:invertIfNegative val="0"/>
          <c:cat>
            <c:strRef>
              <c:f>Dashboard_Data!$F$13:$F$15</c:f>
              <c:strCache>
                <c:ptCount val="3"/>
                <c:pt idx="0">
                  <c:v>Bachelor's</c:v>
                </c:pt>
                <c:pt idx="1">
                  <c:v>Master's</c:v>
                </c:pt>
                <c:pt idx="2">
                  <c:v>PhD</c:v>
                </c:pt>
              </c:strCache>
            </c:strRef>
          </c:cat>
          <c:val>
            <c:numRef>
              <c:f>Dashboard_Data!$G$13:$G$15</c:f>
              <c:numCache>
                <c:formatCode>[$₹-3809]#.00,,"M"</c:formatCode>
                <c:ptCount val="3"/>
                <c:pt idx="0">
                  <c:v>82441.777777777781</c:v>
                </c:pt>
                <c:pt idx="1">
                  <c:v>86258.210526315786</c:v>
                </c:pt>
                <c:pt idx="2">
                  <c:v>72944.100000000006</c:v>
                </c:pt>
              </c:numCache>
            </c:numRef>
          </c:val>
          <c:extLst>
            <c:ext xmlns:c16="http://schemas.microsoft.com/office/drawing/2014/chart" uri="{C3380CC4-5D6E-409C-BE32-E72D297353CC}">
              <c16:uniqueId val="{00000000-46E4-4923-B19E-7FD018F9E1F7}"/>
            </c:ext>
          </c:extLst>
        </c:ser>
        <c:dLbls>
          <c:showLegendKey val="0"/>
          <c:showVal val="0"/>
          <c:showCatName val="0"/>
          <c:showSerName val="0"/>
          <c:showPercent val="0"/>
          <c:showBubbleSize val="0"/>
        </c:dLbls>
        <c:gapWidth val="150"/>
        <c:shape val="box"/>
        <c:axId val="293335552"/>
        <c:axId val="293342752"/>
        <c:axId val="0"/>
      </c:bar3DChart>
      <c:catAx>
        <c:axId val="293335552"/>
        <c:scaling>
          <c:orientation val="minMax"/>
        </c:scaling>
        <c:delete val="0"/>
        <c:axPos val="l"/>
        <c:numFmt formatCode="General" sourceLinked="1"/>
        <c:majorTickMark val="none"/>
        <c:minorTickMark val="none"/>
        <c:tickLblPos val="nextTo"/>
        <c:spPr>
          <a:noFill/>
          <a:ln w="19050"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3342752"/>
        <c:crosses val="autoZero"/>
        <c:auto val="1"/>
        <c:lblAlgn val="ctr"/>
        <c:lblOffset val="100"/>
        <c:noMultiLvlLbl val="0"/>
      </c:catAx>
      <c:valAx>
        <c:axId val="293342752"/>
        <c:scaling>
          <c:orientation val="minMax"/>
        </c:scaling>
        <c:delete val="0"/>
        <c:axPos val="b"/>
        <c:majorGridlines>
          <c:spPr>
            <a:ln>
              <a:solidFill>
                <a:schemeClr val="tx1">
                  <a:lumMod val="15000"/>
                  <a:lumOff val="85000"/>
                </a:schemeClr>
              </a:solidFill>
            </a:ln>
            <a:effectLst/>
          </c:spPr>
        </c:majorGridlines>
        <c:numFmt formatCode="[$₹-3809]#.00,,&quot;M&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33355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US" sz="1500" b="1" i="0" u="none" strike="noStrike" cap="all" normalizeH="0" baseline="0"/>
              <a:t>Salary Growth by Experience Level</a:t>
            </a:r>
            <a:endParaRPr lang="en-US"/>
          </a:p>
        </c:rich>
      </c:tx>
      <c:layout>
        <c:manualLayout>
          <c:xMode val="edge"/>
          <c:yMode val="edge"/>
          <c:x val="0.2446670317229051"/>
          <c:y val="9.1420765699043033E-2"/>
        </c:manualLayout>
      </c:layout>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lotArea>
      <c:layout/>
      <c:lineChart>
        <c:grouping val="standard"/>
        <c:varyColors val="0"/>
        <c:ser>
          <c:idx val="0"/>
          <c:order val="0"/>
          <c:tx>
            <c:strRef>
              <c:f>Dashboard_Data!$L$11:$L$12</c:f>
              <c:strCache>
                <c:ptCount val="2"/>
                <c:pt idx="0">
                  <c:v>Experience Analysis Table</c:v>
                </c:pt>
                <c:pt idx="1">
                  <c:v>Avg Salary</c:v>
                </c:pt>
              </c:strCache>
            </c:strRef>
          </c:tx>
          <c:spPr>
            <a:ln w="34925" cap="rnd">
              <a:solidFill>
                <a:schemeClr val="lt1"/>
              </a:solidFill>
              <a:round/>
            </a:ln>
            <a:effectLst>
              <a:outerShdw dist="25400" dir="2700000" algn="tl" rotWithShape="0">
                <a:schemeClr val="accent1"/>
              </a:outerShdw>
            </a:effectLst>
          </c:spPr>
          <c:marker>
            <c:symbol val="none"/>
          </c:marker>
          <c:cat>
            <c:strRef>
              <c:f>Dashboard_Data!$K$13:$K$16</c:f>
              <c:strCache>
                <c:ptCount val="4"/>
                <c:pt idx="0">
                  <c:v>Junior</c:v>
                </c:pt>
                <c:pt idx="1">
                  <c:v>Mid-Level</c:v>
                </c:pt>
                <c:pt idx="2">
                  <c:v>Senior</c:v>
                </c:pt>
                <c:pt idx="3">
                  <c:v>Expert</c:v>
                </c:pt>
              </c:strCache>
            </c:strRef>
          </c:cat>
          <c:val>
            <c:numRef>
              <c:f>Dashboard_Data!$L$13:$L$16</c:f>
              <c:numCache>
                <c:formatCode>[$₹-3809]#.00,,"M"</c:formatCode>
                <c:ptCount val="4"/>
                <c:pt idx="0">
                  <c:v>62824.6</c:v>
                </c:pt>
                <c:pt idx="1">
                  <c:v>70403.625</c:v>
                </c:pt>
                <c:pt idx="2">
                  <c:v>95489.888888888891</c:v>
                </c:pt>
                <c:pt idx="3">
                  <c:v>84917.107142857145</c:v>
                </c:pt>
              </c:numCache>
            </c:numRef>
          </c:val>
          <c:smooth val="0"/>
          <c:extLst>
            <c:ext xmlns:c16="http://schemas.microsoft.com/office/drawing/2014/chart" uri="{C3380CC4-5D6E-409C-BE32-E72D297353CC}">
              <c16:uniqueId val="{00000000-4EEE-45DC-A2C6-C74C66FEC50B}"/>
            </c:ext>
          </c:extLst>
        </c:ser>
        <c:dLbls>
          <c:showLegendKey val="0"/>
          <c:showVal val="0"/>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round/>
            </a:ln>
            <a:effectLst/>
          </c:spPr>
        </c:dropLines>
        <c:smooth val="0"/>
        <c:axId val="293354272"/>
        <c:axId val="293359072"/>
      </c:lineChart>
      <c:catAx>
        <c:axId val="293354272"/>
        <c:scaling>
          <c:orientation val="minMax"/>
        </c:scaling>
        <c:delete val="0"/>
        <c:axPos val="b"/>
        <c:numFmt formatCode="General" sourceLinked="1"/>
        <c:majorTickMark val="none"/>
        <c:minorTickMark val="none"/>
        <c:tickLblPos val="nextTo"/>
        <c:spPr>
          <a:noFill/>
          <a:ln w="12700" cap="flat" cmpd="sng" algn="ctr">
            <a:solidFill>
              <a:schemeClr val="lt1"/>
            </a:solidFill>
            <a:round/>
          </a:ln>
          <a:effectLst/>
        </c:spPr>
        <c:txPr>
          <a:bodyPr rot="-60000000" spcFirstLastPara="1" vertOverflow="ellipsis" vert="horz" wrap="square" anchor="ctr" anchorCtr="1"/>
          <a:lstStyle/>
          <a:p>
            <a:pPr>
              <a:defRPr sz="900" b="0" i="0" u="none" strike="noStrike" kern="1200" spc="100" baseline="0">
                <a:solidFill>
                  <a:schemeClr val="lt1"/>
                </a:solidFill>
                <a:latin typeface="+mn-lt"/>
                <a:ea typeface="+mn-ea"/>
                <a:cs typeface="+mn-cs"/>
              </a:defRPr>
            </a:pPr>
            <a:endParaRPr lang="en-US"/>
          </a:p>
        </c:txPr>
        <c:crossAx val="293359072"/>
        <c:crosses val="autoZero"/>
        <c:auto val="1"/>
        <c:lblAlgn val="ctr"/>
        <c:lblOffset val="100"/>
        <c:noMultiLvlLbl val="0"/>
      </c:catAx>
      <c:valAx>
        <c:axId val="293359072"/>
        <c:scaling>
          <c:orientation val="minMax"/>
        </c:scaling>
        <c:delete val="0"/>
        <c:axPos val="l"/>
        <c:numFmt formatCode="[$₹-3809]#.00,,&quot;M&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2933542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4">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3175" cap="flat" cmpd="sng" algn="ctr">
        <a:solidFill>
          <a:schemeClr val="phClr">
            <a:lumMod val="60000"/>
            <a:lumOff val="40000"/>
          </a:schemeClr>
        </a:solidFill>
        <a:round/>
      </a:ln>
    </cs:spPr>
    <cs:defRPr sz="800" kern="1200" cap="all" spc="150" normalizeH="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styleClr val="auto"/>
    </cs:fillRef>
    <cs:effectRef idx="0"/>
    <cs:fontRef idx="minor">
      <a:schemeClr val="lt1"/>
    </cs:fontRef>
    <cs:spPr>
      <a:solidFill>
        <a:schemeClr val="phClr">
          <a:alpha val="70000"/>
        </a:schemeClr>
      </a:solidFill>
    </cs:spPr>
    <cs:defRPr sz="900"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a:solidFill>
          <a:schemeClr val="phClr">
            <a:lumMod val="60000"/>
            <a:lumOff val="40000"/>
          </a:schemeClr>
        </a:solidFill>
        <a:prstDash val="dash"/>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14">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3175" cap="flat" cmpd="sng" algn="ctr">
        <a:solidFill>
          <a:schemeClr val="phClr">
            <a:lumMod val="60000"/>
            <a:lumOff val="40000"/>
          </a:schemeClr>
        </a:solidFill>
        <a:round/>
      </a:ln>
    </cs:spPr>
    <cs:defRPr sz="800" kern="1200" cap="all" spc="150" normalizeH="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styleClr val="auto"/>
    </cs:fillRef>
    <cs:effectRef idx="0"/>
    <cs:fontRef idx="minor">
      <a:schemeClr val="lt1"/>
    </cs:fontRef>
    <cs:spPr>
      <a:solidFill>
        <a:schemeClr val="phClr">
          <a:alpha val="70000"/>
        </a:schemeClr>
      </a:solidFill>
    </cs:spPr>
    <cs:defRPr sz="900"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a:solidFill>
          <a:schemeClr val="phClr">
            <a:lumMod val="60000"/>
            <a:lumOff val="40000"/>
          </a:schemeClr>
        </a:solidFill>
        <a:prstDash val="dash"/>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26">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3175" cap="flat" cmpd="sng" algn="ctr">
        <a:solidFill>
          <a:schemeClr val="phClr">
            <a:lumMod val="60000"/>
            <a:lumOff val="40000"/>
          </a:schemeClr>
        </a:solidFill>
        <a:round/>
      </a:ln>
    </cs:spPr>
    <cs:defRPr sz="800" kern="1200" cap="all" spc="150" normalizeH="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styleClr val="auto"/>
    </cs:fillRef>
    <cs:effectRef idx="0"/>
    <cs:fontRef idx="minor">
      <a:schemeClr val="lt1"/>
    </cs:fontRef>
    <cs:spPr>
      <a:solidFill>
        <a:schemeClr val="phClr">
          <a:alpha val="70000"/>
        </a:schemeClr>
      </a:solidFill>
    </cs:spPr>
    <cs:defRPr sz="900"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a:solidFill>
          <a:schemeClr val="phClr">
            <a:lumMod val="60000"/>
            <a:lumOff val="40000"/>
          </a:schemeClr>
        </a:solidFill>
        <a:prstDash val="dash"/>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9">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
  <cs:dataPoint3D>
    <cs:lnRef idx="0">
      <cs:styleClr val="auto"/>
    </cs:lnRef>
    <cs:fillRef idx="0">
      <cs:styleClr val="auto"/>
    </cs:fillRef>
    <cs:effectRef idx="0"/>
    <cs:fontRef idx="minor">
      <a:schemeClr val="tx1"/>
    </cs:fontRef>
    <cs:spPr>
      <a:pattFill prst="ltDnDiag">
        <a:fgClr>
          <a:schemeClr val="phClr"/>
        </a:fgClr>
        <a:bgClr>
          <a:schemeClr val="phClr">
            <a:lumMod val="20000"/>
            <a:lumOff val="80000"/>
          </a:schemeClr>
        </a:bgClr>
      </a:pattFill>
      <a:ln>
        <a:solidFill>
          <a:schemeClr val="phClr"/>
        </a:solidFill>
      </a:ln>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spPr>
      <a:ln w="19050" cap="flat" cmpd="sng" algn="ctr">
        <a:solidFill>
          <a:schemeClr val="tx1">
            <a:lumMod val="25000"/>
            <a:lumOff val="75000"/>
          </a:schemeClr>
        </a:solidFill>
        <a:round/>
      </a:ln>
    </cs:spPr>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29">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12700" cap="flat" cmpd="sng" algn="ctr">
        <a:solidFill>
          <a:schemeClr val="lt1"/>
        </a:solidFill>
        <a:round/>
      </a:ln>
    </cs:spPr>
    <cs:defRPr sz="900" kern="1200" spc="10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0</xdr:colOff>
      <xdr:row>3</xdr:row>
      <xdr:rowOff>175260</xdr:rowOff>
    </xdr:from>
    <xdr:to>
      <xdr:col>8</xdr:col>
      <xdr:colOff>15240</xdr:colOff>
      <xdr:row>13</xdr:row>
      <xdr:rowOff>7620</xdr:rowOff>
    </xdr:to>
    <xdr:graphicFrame macro="">
      <xdr:nvGraphicFramePr>
        <xdr:cNvPr id="3" name="Chart 2">
          <a:extLst>
            <a:ext uri="{FF2B5EF4-FFF2-40B4-BE49-F238E27FC236}">
              <a16:creationId xmlns:a16="http://schemas.microsoft.com/office/drawing/2014/main" id="{9EB8254E-7651-4A7D-AD9B-6F4704FB09C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91440</xdr:colOff>
      <xdr:row>4</xdr:row>
      <xdr:rowOff>0</xdr:rowOff>
    </xdr:from>
    <xdr:to>
      <xdr:col>16</xdr:col>
      <xdr:colOff>22860</xdr:colOff>
      <xdr:row>13</xdr:row>
      <xdr:rowOff>7620</xdr:rowOff>
    </xdr:to>
    <xdr:graphicFrame macro="">
      <xdr:nvGraphicFramePr>
        <xdr:cNvPr id="4" name="Chart 3">
          <a:extLst>
            <a:ext uri="{FF2B5EF4-FFF2-40B4-BE49-F238E27FC236}">
              <a16:creationId xmlns:a16="http://schemas.microsoft.com/office/drawing/2014/main" id="{F5798278-94A7-4D60-A195-C2D7684AEA9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13</xdr:row>
      <xdr:rowOff>91440</xdr:rowOff>
    </xdr:from>
    <xdr:to>
      <xdr:col>8</xdr:col>
      <xdr:colOff>15240</xdr:colOff>
      <xdr:row>23</xdr:row>
      <xdr:rowOff>152400</xdr:rowOff>
    </xdr:to>
    <xdr:graphicFrame macro="">
      <xdr:nvGraphicFramePr>
        <xdr:cNvPr id="2" name="Chart 1">
          <a:extLst>
            <a:ext uri="{FF2B5EF4-FFF2-40B4-BE49-F238E27FC236}">
              <a16:creationId xmlns:a16="http://schemas.microsoft.com/office/drawing/2014/main" id="{4E5C70C0-44F4-48AE-BC87-9EAAC74B21C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426720</xdr:colOff>
      <xdr:row>28</xdr:row>
      <xdr:rowOff>60960</xdr:rowOff>
    </xdr:from>
    <xdr:to>
      <xdr:col>14</xdr:col>
      <xdr:colOff>426720</xdr:colOff>
      <xdr:row>38</xdr:row>
      <xdr:rowOff>83820</xdr:rowOff>
    </xdr:to>
    <xdr:graphicFrame macro="">
      <xdr:nvGraphicFramePr>
        <xdr:cNvPr id="5" name="Chart 4">
          <a:extLst>
            <a:ext uri="{FF2B5EF4-FFF2-40B4-BE49-F238E27FC236}">
              <a16:creationId xmlns:a16="http://schemas.microsoft.com/office/drawing/2014/main" id="{47FDC5C4-DFF0-4950-A420-C7C7327B401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8</xdr:col>
      <xdr:colOff>91440</xdr:colOff>
      <xdr:row>13</xdr:row>
      <xdr:rowOff>83820</xdr:rowOff>
    </xdr:from>
    <xdr:to>
      <xdr:col>16</xdr:col>
      <xdr:colOff>22860</xdr:colOff>
      <xdr:row>23</xdr:row>
      <xdr:rowOff>129540</xdr:rowOff>
    </xdr:to>
    <xdr:graphicFrame macro="">
      <xdr:nvGraphicFramePr>
        <xdr:cNvPr id="6" name="Chart 5">
          <a:extLst>
            <a:ext uri="{FF2B5EF4-FFF2-40B4-BE49-F238E27FC236}">
              <a16:creationId xmlns:a16="http://schemas.microsoft.com/office/drawing/2014/main" id="{5746E11F-A8CB-4057-9A82-3AB31AC512B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16</xdr:col>
      <xdr:colOff>70273</xdr:colOff>
      <xdr:row>13</xdr:row>
      <xdr:rowOff>88054</xdr:rowOff>
    </xdr:from>
    <xdr:to>
      <xdr:col>22</xdr:col>
      <xdr:colOff>8466</xdr:colOff>
      <xdr:row>23</xdr:row>
      <xdr:rowOff>177800</xdr:rowOff>
    </xdr:to>
    <xdr:graphicFrame macro="">
      <xdr:nvGraphicFramePr>
        <xdr:cNvPr id="7" name="Chart 6">
          <a:extLst>
            <a:ext uri="{FF2B5EF4-FFF2-40B4-BE49-F238E27FC236}">
              <a16:creationId xmlns:a16="http://schemas.microsoft.com/office/drawing/2014/main" id="{455DBB94-B37B-440D-A7C9-9A2C9DD6A5E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16</xdr:col>
      <xdr:colOff>68580</xdr:colOff>
      <xdr:row>4</xdr:row>
      <xdr:rowOff>1</xdr:rowOff>
    </xdr:from>
    <xdr:to>
      <xdr:col>19</xdr:col>
      <xdr:colOff>7620</xdr:colOff>
      <xdr:row>13</xdr:row>
      <xdr:rowOff>15240</xdr:rowOff>
    </xdr:to>
    <mc:AlternateContent xmlns:mc="http://schemas.openxmlformats.org/markup-compatibility/2006">
      <mc:Choice xmlns:a14="http://schemas.microsoft.com/office/drawing/2010/main" Requires="a14">
        <xdr:graphicFrame macro="">
          <xdr:nvGraphicFramePr>
            <xdr:cNvPr id="8" name="Department">
              <a:extLst>
                <a:ext uri="{FF2B5EF4-FFF2-40B4-BE49-F238E27FC236}">
                  <a16:creationId xmlns:a16="http://schemas.microsoft.com/office/drawing/2014/main" id="{EB5E7E45-8BAE-49A8-ABD1-8BC8EF807DDC}"/>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dr:sp macro="" textlink="">
          <xdr:nvSpPr>
            <xdr:cNvPr id="0" name=""/>
            <xdr:cNvSpPr>
              <a:spLocks noTextEdit="1"/>
            </xdr:cNvSpPr>
          </xdr:nvSpPr>
          <xdr:spPr>
            <a:xfrm>
              <a:off x="9822180" y="1016001"/>
              <a:ext cx="1767840" cy="1776306"/>
            </a:xfrm>
            <a:prstGeom prst="rect">
              <a:avLst/>
            </a:prstGeom>
            <a:solidFill>
              <a:prstClr val="white"/>
            </a:solidFill>
            <a:ln w="1">
              <a:solidFill>
                <a:prstClr val="green"/>
              </a:solidFill>
            </a:ln>
          </xdr:spPr>
          <xdr:txBody>
            <a:bodyPr vertOverflow="clip" horzOverflow="clip"/>
            <a:lstStyle/>
            <a:p>
              <a:r>
                <a:rPr lang="en-A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38100</xdr:colOff>
      <xdr:row>4</xdr:row>
      <xdr:rowOff>1</xdr:rowOff>
    </xdr:from>
    <xdr:to>
      <xdr:col>22</xdr:col>
      <xdr:colOff>38100</xdr:colOff>
      <xdr:row>12</xdr:row>
      <xdr:rowOff>167641</xdr:rowOff>
    </xdr:to>
    <mc:AlternateContent xmlns:mc="http://schemas.openxmlformats.org/markup-compatibility/2006">
      <mc:Choice xmlns:a14="http://schemas.microsoft.com/office/drawing/2010/main" Requires="a14">
        <xdr:graphicFrame macro="">
          <xdr:nvGraphicFramePr>
            <xdr:cNvPr id="9" name="Education_Level">
              <a:extLst>
                <a:ext uri="{FF2B5EF4-FFF2-40B4-BE49-F238E27FC236}">
                  <a16:creationId xmlns:a16="http://schemas.microsoft.com/office/drawing/2014/main" id="{2F14400F-EC5F-432A-BA34-0128034D75FF}"/>
                </a:ext>
              </a:extLst>
            </xdr:cNvPr>
            <xdr:cNvGraphicFramePr/>
          </xdr:nvGraphicFramePr>
          <xdr:xfrm>
            <a:off x="0" y="0"/>
            <a:ext cx="0" cy="0"/>
          </xdr:xfrm>
          <a:graphic>
            <a:graphicData uri="http://schemas.microsoft.com/office/drawing/2010/slicer">
              <sle:slicer xmlns:sle="http://schemas.microsoft.com/office/drawing/2010/slicer" name="Education_Level"/>
            </a:graphicData>
          </a:graphic>
        </xdr:graphicFrame>
      </mc:Choice>
      <mc:Fallback>
        <xdr:sp macro="" textlink="">
          <xdr:nvSpPr>
            <xdr:cNvPr id="0" name=""/>
            <xdr:cNvSpPr>
              <a:spLocks noTextEdit="1"/>
            </xdr:cNvSpPr>
          </xdr:nvSpPr>
          <xdr:spPr>
            <a:xfrm>
              <a:off x="11620500" y="1016001"/>
              <a:ext cx="1828800" cy="1742440"/>
            </a:xfrm>
            <a:prstGeom prst="rect">
              <a:avLst/>
            </a:prstGeom>
            <a:solidFill>
              <a:prstClr val="white"/>
            </a:solidFill>
            <a:ln w="1">
              <a:solidFill>
                <a:prstClr val="green"/>
              </a:solidFill>
            </a:ln>
          </xdr:spPr>
          <xdr:txBody>
            <a:bodyPr vertOverflow="clip" horzOverflow="clip"/>
            <a:lstStyle/>
            <a:p>
              <a:r>
                <a:rPr lang="en-A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22</xdr:col>
      <xdr:colOff>114300</xdr:colOff>
      <xdr:row>13</xdr:row>
      <xdr:rowOff>38100</xdr:rowOff>
    </xdr:from>
    <xdr:to>
      <xdr:col>25</xdr:col>
      <xdr:colOff>114300</xdr:colOff>
      <xdr:row>18</xdr:row>
      <xdr:rowOff>84667</xdr:rowOff>
    </xdr:to>
    <mc:AlternateContent xmlns:mc="http://schemas.openxmlformats.org/markup-compatibility/2006">
      <mc:Choice xmlns:a14="http://schemas.microsoft.com/office/drawing/2010/main" Requires="a14">
        <xdr:graphicFrame macro="">
          <xdr:nvGraphicFramePr>
            <xdr:cNvPr id="10" name="Gender">
              <a:extLst>
                <a:ext uri="{FF2B5EF4-FFF2-40B4-BE49-F238E27FC236}">
                  <a16:creationId xmlns:a16="http://schemas.microsoft.com/office/drawing/2014/main" id="{BA374919-8147-456E-8A1D-6F968CFCF48C}"/>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dr:sp macro="" textlink="">
          <xdr:nvSpPr>
            <xdr:cNvPr id="0" name=""/>
            <xdr:cNvSpPr>
              <a:spLocks noTextEdit="1"/>
            </xdr:cNvSpPr>
          </xdr:nvSpPr>
          <xdr:spPr>
            <a:xfrm>
              <a:off x="13525500" y="2815167"/>
              <a:ext cx="1828800" cy="977900"/>
            </a:xfrm>
            <a:prstGeom prst="rect">
              <a:avLst/>
            </a:prstGeom>
            <a:solidFill>
              <a:prstClr val="white"/>
            </a:solidFill>
            <a:ln w="1">
              <a:solidFill>
                <a:prstClr val="green"/>
              </a:solidFill>
            </a:ln>
          </xdr:spPr>
          <xdr:txBody>
            <a:bodyPr vertOverflow="clip" horzOverflow="clip"/>
            <a:lstStyle/>
            <a:p>
              <a:r>
                <a:rPr lang="en-A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22</xdr:col>
      <xdr:colOff>99906</xdr:colOff>
      <xdr:row>4</xdr:row>
      <xdr:rowOff>13547</xdr:rowOff>
    </xdr:from>
    <xdr:to>
      <xdr:col>25</xdr:col>
      <xdr:colOff>99906</xdr:colOff>
      <xdr:row>12</xdr:row>
      <xdr:rowOff>160867</xdr:rowOff>
    </xdr:to>
    <mc:AlternateContent xmlns:mc="http://schemas.openxmlformats.org/markup-compatibility/2006">
      <mc:Choice xmlns:a14="http://schemas.microsoft.com/office/drawing/2010/main" Requires="a14">
        <xdr:graphicFrame macro="">
          <xdr:nvGraphicFramePr>
            <xdr:cNvPr id="11" name="City">
              <a:extLst>
                <a:ext uri="{FF2B5EF4-FFF2-40B4-BE49-F238E27FC236}">
                  <a16:creationId xmlns:a16="http://schemas.microsoft.com/office/drawing/2014/main" id="{9E402393-E90F-4E37-BE52-32948A649124}"/>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dr:sp macro="" textlink="">
          <xdr:nvSpPr>
            <xdr:cNvPr id="0" name=""/>
            <xdr:cNvSpPr>
              <a:spLocks noTextEdit="1"/>
            </xdr:cNvSpPr>
          </xdr:nvSpPr>
          <xdr:spPr>
            <a:xfrm>
              <a:off x="13511106" y="1029547"/>
              <a:ext cx="1828800" cy="1722120"/>
            </a:xfrm>
            <a:prstGeom prst="rect">
              <a:avLst/>
            </a:prstGeom>
            <a:solidFill>
              <a:prstClr val="white"/>
            </a:solidFill>
            <a:ln w="1">
              <a:solidFill>
                <a:prstClr val="green"/>
              </a:solidFill>
            </a:ln>
          </xdr:spPr>
          <xdr:txBody>
            <a:bodyPr vertOverflow="clip" horzOverflow="clip"/>
            <a:lstStyle/>
            <a:p>
              <a:r>
                <a:rPr lang="en-A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neha Giri" refreshedDate="46174.983751967593" createdVersion="8" refreshedVersion="8" minRefreshableVersion="3" recordCount="50" xr:uid="{AA4B6628-6FB5-4540-ACE3-9594719C3432}">
  <cacheSource type="worksheet">
    <worksheetSource name="tblEmployee"/>
  </cacheSource>
  <cacheFields count="10">
    <cacheField name="EmployeeID" numFmtId="0">
      <sharedItems containsSemiMixedTypes="0" containsString="0" containsNumber="1" containsInteger="1" minValue="1" maxValue="50"/>
    </cacheField>
    <cacheField name="Name" numFmtId="0">
      <sharedItems/>
    </cacheField>
    <cacheField name="Department" numFmtId="0">
      <sharedItems count="5">
        <s v="Marketing"/>
        <s v="Operations"/>
        <s v="IT"/>
        <s v="Finance"/>
        <s v="HR"/>
      </sharedItems>
    </cacheField>
    <cacheField name="Experience_Years" numFmtId="0">
      <sharedItems containsSemiMixedTypes="0" containsString="0" containsNumber="1" containsInteger="1" minValue="1" maxValue="19"/>
    </cacheField>
    <cacheField name="Education_Level" numFmtId="0">
      <sharedItems count="4">
        <s v="Master"/>
        <s v="Bachelor"/>
        <s v="High School"/>
        <s v="PhD"/>
      </sharedItems>
    </cacheField>
    <cacheField name="Age" numFmtId="0">
      <sharedItems containsSemiMixedTypes="0" containsString="0" containsNumber="1" containsInteger="1" minValue="22" maxValue="57"/>
    </cacheField>
    <cacheField name="Gender" numFmtId="0">
      <sharedItems count="2">
        <s v="Female"/>
        <s v="Male"/>
      </sharedItems>
    </cacheField>
    <cacheField name="City" numFmtId="0">
      <sharedItems count="5">
        <s v="Delhi"/>
        <s v="Bangalore"/>
        <s v="Hyderabad"/>
        <s v="Mumbai"/>
        <s v="Chennai"/>
      </sharedItems>
    </cacheField>
    <cacheField name="Monthly_Salary" numFmtId="0">
      <sharedItems containsSemiMixedTypes="0" containsString="0" containsNumber="1" containsInteger="1" minValue="28420" maxValue="149123"/>
    </cacheField>
    <cacheField name="Experience_Group" numFmtId="0">
      <sharedItems count="4">
        <s v="Expert"/>
        <s v="Senior"/>
        <s v="Mid-Level"/>
        <s v="Junior"/>
      </sharedItems>
    </cacheField>
  </cacheFields>
  <extLst>
    <ext xmlns:x14="http://schemas.microsoft.com/office/spreadsheetml/2009/9/main" uri="{725AE2AE-9491-48be-B2B4-4EB974FC3084}">
      <x14:pivotCacheDefinition pivotCacheId="116747514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
  <r>
    <n v="1"/>
    <s v="Employee_1"/>
    <x v="0"/>
    <n v="15"/>
    <x v="0"/>
    <n v="53"/>
    <x v="0"/>
    <x v="0"/>
    <n v="111416"/>
    <x v="0"/>
  </r>
  <r>
    <n v="2"/>
    <s v="Employee_2"/>
    <x v="1"/>
    <n v="7"/>
    <x v="1"/>
    <n v="25"/>
    <x v="0"/>
    <x v="1"/>
    <n v="95271"/>
    <x v="1"/>
  </r>
  <r>
    <n v="3"/>
    <s v="Employee_3"/>
    <x v="2"/>
    <n v="12"/>
    <x v="2"/>
    <n v="51"/>
    <x v="0"/>
    <x v="2"/>
    <n v="69064"/>
    <x v="0"/>
  </r>
  <r>
    <n v="4"/>
    <s v="Employee_4"/>
    <x v="1"/>
    <n v="8"/>
    <x v="3"/>
    <n v="44"/>
    <x v="1"/>
    <x v="0"/>
    <n v="95091"/>
    <x v="1"/>
  </r>
  <r>
    <n v="5"/>
    <s v="Employee_5"/>
    <x v="1"/>
    <n v="15"/>
    <x v="0"/>
    <n v="36"/>
    <x v="0"/>
    <x v="0"/>
    <n v="132450"/>
    <x v="0"/>
  </r>
  <r>
    <n v="6"/>
    <s v="Employee_6"/>
    <x v="3"/>
    <n v="3"/>
    <x v="2"/>
    <n v="50"/>
    <x v="1"/>
    <x v="3"/>
    <n v="65818"/>
    <x v="2"/>
  </r>
  <r>
    <n v="7"/>
    <s v="Employee_7"/>
    <x v="2"/>
    <n v="14"/>
    <x v="3"/>
    <n v="57"/>
    <x v="1"/>
    <x v="3"/>
    <n v="70525"/>
    <x v="0"/>
  </r>
  <r>
    <n v="8"/>
    <s v="Employee_8"/>
    <x v="2"/>
    <n v="17"/>
    <x v="3"/>
    <n v="34"/>
    <x v="0"/>
    <x v="1"/>
    <n v="44830"/>
    <x v="0"/>
  </r>
  <r>
    <n v="9"/>
    <s v="Employee_9"/>
    <x v="2"/>
    <n v="4"/>
    <x v="1"/>
    <n v="53"/>
    <x v="1"/>
    <x v="2"/>
    <n v="42429"/>
    <x v="2"/>
  </r>
  <r>
    <n v="10"/>
    <s v="Employee_10"/>
    <x v="1"/>
    <n v="18"/>
    <x v="2"/>
    <n v="28"/>
    <x v="1"/>
    <x v="3"/>
    <n v="31893"/>
    <x v="0"/>
  </r>
  <r>
    <n v="11"/>
    <s v="Employee_11"/>
    <x v="0"/>
    <n v="8"/>
    <x v="3"/>
    <n v="43"/>
    <x v="1"/>
    <x v="0"/>
    <n v="141381"/>
    <x v="1"/>
  </r>
  <r>
    <n v="12"/>
    <s v="Employee_12"/>
    <x v="2"/>
    <n v="4"/>
    <x v="0"/>
    <n v="49"/>
    <x v="0"/>
    <x v="2"/>
    <n v="104909"/>
    <x v="2"/>
  </r>
  <r>
    <n v="13"/>
    <s v="Employee_13"/>
    <x v="1"/>
    <n v="2"/>
    <x v="0"/>
    <n v="23"/>
    <x v="0"/>
    <x v="2"/>
    <n v="72333"/>
    <x v="3"/>
  </r>
  <r>
    <n v="14"/>
    <s v="Employee_14"/>
    <x v="3"/>
    <n v="6"/>
    <x v="1"/>
    <n v="27"/>
    <x v="1"/>
    <x v="0"/>
    <n v="28436"/>
    <x v="1"/>
  </r>
  <r>
    <n v="15"/>
    <s v="Employee_15"/>
    <x v="0"/>
    <n v="10"/>
    <x v="3"/>
    <n v="49"/>
    <x v="0"/>
    <x v="3"/>
    <n v="99290"/>
    <x v="0"/>
  </r>
  <r>
    <n v="16"/>
    <s v="Employee_16"/>
    <x v="3"/>
    <n v="4"/>
    <x v="2"/>
    <n v="49"/>
    <x v="0"/>
    <x v="0"/>
    <n v="101213"/>
    <x v="2"/>
  </r>
  <r>
    <n v="17"/>
    <s v="Employee_17"/>
    <x v="0"/>
    <n v="18"/>
    <x v="0"/>
    <n v="41"/>
    <x v="0"/>
    <x v="2"/>
    <n v="30895"/>
    <x v="0"/>
  </r>
  <r>
    <n v="18"/>
    <s v="Employee_18"/>
    <x v="1"/>
    <n v="12"/>
    <x v="3"/>
    <n v="51"/>
    <x v="0"/>
    <x v="4"/>
    <n v="44738"/>
    <x v="0"/>
  </r>
  <r>
    <n v="19"/>
    <s v="Employee_19"/>
    <x v="4"/>
    <n v="2"/>
    <x v="3"/>
    <n v="32"/>
    <x v="1"/>
    <x v="4"/>
    <n v="55746"/>
    <x v="3"/>
  </r>
  <r>
    <n v="20"/>
    <s v="Employee_20"/>
    <x v="0"/>
    <n v="10"/>
    <x v="1"/>
    <n v="49"/>
    <x v="1"/>
    <x v="1"/>
    <n v="74377"/>
    <x v="0"/>
  </r>
  <r>
    <n v="21"/>
    <s v="Employee_21"/>
    <x v="3"/>
    <n v="4"/>
    <x v="0"/>
    <n v="46"/>
    <x v="0"/>
    <x v="0"/>
    <n v="73404"/>
    <x v="2"/>
  </r>
  <r>
    <n v="22"/>
    <s v="Employee_22"/>
    <x v="1"/>
    <n v="14"/>
    <x v="0"/>
    <n v="54"/>
    <x v="0"/>
    <x v="0"/>
    <n v="79045"/>
    <x v="0"/>
  </r>
  <r>
    <n v="23"/>
    <s v="Employee_23"/>
    <x v="0"/>
    <n v="16"/>
    <x v="2"/>
    <n v="22"/>
    <x v="1"/>
    <x v="1"/>
    <n v="122888"/>
    <x v="0"/>
  </r>
  <r>
    <n v="24"/>
    <s v="Employee_24"/>
    <x v="4"/>
    <n v="15"/>
    <x v="0"/>
    <n v="48"/>
    <x v="1"/>
    <x v="1"/>
    <n v="64790"/>
    <x v="0"/>
  </r>
  <r>
    <n v="25"/>
    <s v="Employee_25"/>
    <x v="4"/>
    <n v="8"/>
    <x v="2"/>
    <n v="34"/>
    <x v="0"/>
    <x v="1"/>
    <n v="132455"/>
    <x v="1"/>
  </r>
  <r>
    <n v="26"/>
    <s v="Employee_26"/>
    <x v="2"/>
    <n v="14"/>
    <x v="0"/>
    <n v="24"/>
    <x v="1"/>
    <x v="2"/>
    <n v="30600"/>
    <x v="0"/>
  </r>
  <r>
    <n v="27"/>
    <s v="Employee_27"/>
    <x v="2"/>
    <n v="8"/>
    <x v="1"/>
    <n v="27"/>
    <x v="0"/>
    <x v="0"/>
    <n v="119660"/>
    <x v="1"/>
  </r>
  <r>
    <n v="28"/>
    <s v="Employee_28"/>
    <x v="3"/>
    <n v="16"/>
    <x v="0"/>
    <n v="29"/>
    <x v="0"/>
    <x v="2"/>
    <n v="118179"/>
    <x v="0"/>
  </r>
  <r>
    <n v="29"/>
    <s v="Employee_29"/>
    <x v="0"/>
    <n v="13"/>
    <x v="2"/>
    <n v="48"/>
    <x v="1"/>
    <x v="1"/>
    <n v="65764"/>
    <x v="0"/>
  </r>
  <r>
    <n v="30"/>
    <s v="Employee_30"/>
    <x v="0"/>
    <n v="18"/>
    <x v="2"/>
    <n v="30"/>
    <x v="1"/>
    <x v="0"/>
    <n v="99543"/>
    <x v="0"/>
  </r>
  <r>
    <n v="31"/>
    <s v="Employee_31"/>
    <x v="2"/>
    <n v="15"/>
    <x v="1"/>
    <n v="54"/>
    <x v="0"/>
    <x v="2"/>
    <n v="70714"/>
    <x v="0"/>
  </r>
  <r>
    <n v="32"/>
    <s v="Employee_32"/>
    <x v="0"/>
    <n v="13"/>
    <x v="0"/>
    <n v="45"/>
    <x v="0"/>
    <x v="2"/>
    <n v="81835"/>
    <x v="0"/>
  </r>
  <r>
    <n v="33"/>
    <s v="Employee_33"/>
    <x v="0"/>
    <n v="9"/>
    <x v="0"/>
    <n v="36"/>
    <x v="1"/>
    <x v="1"/>
    <n v="127946"/>
    <x v="0"/>
  </r>
  <r>
    <n v="34"/>
    <s v="Employee_34"/>
    <x v="4"/>
    <n v="15"/>
    <x v="1"/>
    <n v="53"/>
    <x v="0"/>
    <x v="0"/>
    <n v="134616"/>
    <x v="0"/>
  </r>
  <r>
    <n v="35"/>
    <s v="Employee_35"/>
    <x v="2"/>
    <n v="13"/>
    <x v="0"/>
    <n v="53"/>
    <x v="1"/>
    <x v="1"/>
    <n v="130983"/>
    <x v="0"/>
  </r>
  <r>
    <n v="36"/>
    <s v="Employee_36"/>
    <x v="1"/>
    <n v="1"/>
    <x v="0"/>
    <n v="45"/>
    <x v="0"/>
    <x v="0"/>
    <n v="98744"/>
    <x v="3"/>
  </r>
  <r>
    <n v="37"/>
    <s v="Employee_37"/>
    <x v="2"/>
    <n v="7"/>
    <x v="2"/>
    <n v="33"/>
    <x v="1"/>
    <x v="4"/>
    <n v="81491"/>
    <x v="1"/>
  </r>
  <r>
    <n v="38"/>
    <s v="Employee_38"/>
    <x v="1"/>
    <n v="9"/>
    <x v="0"/>
    <n v="23"/>
    <x v="1"/>
    <x v="3"/>
    <n v="149123"/>
    <x v="0"/>
  </r>
  <r>
    <n v="39"/>
    <s v="Employee_39"/>
    <x v="4"/>
    <n v="1"/>
    <x v="0"/>
    <n v="24"/>
    <x v="1"/>
    <x v="3"/>
    <n v="43589"/>
    <x v="3"/>
  </r>
  <r>
    <n v="40"/>
    <s v="Employee_40"/>
    <x v="3"/>
    <n v="12"/>
    <x v="1"/>
    <n v="38"/>
    <x v="0"/>
    <x v="3"/>
    <n v="68484"/>
    <x v="0"/>
  </r>
  <r>
    <n v="41"/>
    <s v="Employee_41"/>
    <x v="0"/>
    <n v="8"/>
    <x v="1"/>
    <n v="23"/>
    <x v="0"/>
    <x v="1"/>
    <n v="107989"/>
    <x v="1"/>
  </r>
  <r>
    <n v="42"/>
    <s v="Employee_42"/>
    <x v="4"/>
    <n v="11"/>
    <x v="3"/>
    <n v="23"/>
    <x v="1"/>
    <x v="4"/>
    <n v="61212"/>
    <x v="0"/>
  </r>
  <r>
    <n v="43"/>
    <s v="Employee_43"/>
    <x v="0"/>
    <n v="19"/>
    <x v="2"/>
    <n v="49"/>
    <x v="0"/>
    <x v="0"/>
    <n v="68525"/>
    <x v="0"/>
  </r>
  <r>
    <n v="44"/>
    <s v="Employee_44"/>
    <x v="3"/>
    <n v="17"/>
    <x v="0"/>
    <n v="44"/>
    <x v="1"/>
    <x v="2"/>
    <n v="72202"/>
    <x v="0"/>
  </r>
  <r>
    <n v="45"/>
    <s v="Employee_45"/>
    <x v="3"/>
    <n v="8"/>
    <x v="0"/>
    <n v="53"/>
    <x v="1"/>
    <x v="0"/>
    <n v="57635"/>
    <x v="1"/>
  </r>
  <r>
    <n v="46"/>
    <s v="Employee_46"/>
    <x v="4"/>
    <n v="3"/>
    <x v="3"/>
    <n v="54"/>
    <x v="0"/>
    <x v="2"/>
    <n v="88208"/>
    <x v="2"/>
  </r>
  <r>
    <n v="47"/>
    <s v="Employee_47"/>
    <x v="3"/>
    <n v="3"/>
    <x v="0"/>
    <n v="22"/>
    <x v="0"/>
    <x v="0"/>
    <n v="58828"/>
    <x v="2"/>
  </r>
  <r>
    <n v="48"/>
    <s v="Employee_48"/>
    <x v="1"/>
    <n v="1"/>
    <x v="2"/>
    <n v="40"/>
    <x v="1"/>
    <x v="4"/>
    <n v="43711"/>
    <x v="3"/>
  </r>
  <r>
    <n v="49"/>
    <s v="Employee_49"/>
    <x v="3"/>
    <n v="5"/>
    <x v="3"/>
    <n v="23"/>
    <x v="0"/>
    <x v="2"/>
    <n v="28420"/>
    <x v="2"/>
  </r>
  <r>
    <n v="50"/>
    <s v="Employee_50"/>
    <x v="0"/>
    <n v="10"/>
    <x v="2"/>
    <n v="47"/>
    <x v="0"/>
    <x v="1"/>
    <n v="121752"/>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02F8D38-4B11-4F28-8B44-523F942B9731}"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G10" firstHeaderRow="1" firstDataRow="2" firstDataCol="1"/>
  <pivotFields count="10">
    <pivotField showAll="0"/>
    <pivotField showAll="0"/>
    <pivotField axis="axisCol" showAll="0">
      <items count="6">
        <item x="3"/>
        <item x="4"/>
        <item x="2"/>
        <item x="0"/>
        <item x="1"/>
        <item t="default"/>
      </items>
    </pivotField>
    <pivotField showAll="0"/>
    <pivotField showAll="0"/>
    <pivotField showAll="0"/>
    <pivotField showAll="0"/>
    <pivotField axis="axisRow" showAll="0">
      <items count="6">
        <item x="1"/>
        <item x="4"/>
        <item x="0"/>
        <item x="2"/>
        <item x="3"/>
        <item t="default"/>
      </items>
    </pivotField>
    <pivotField showAll="0"/>
    <pivotField showAll="0"/>
  </pivotFields>
  <rowFields count="1">
    <field x="7"/>
  </rowFields>
  <rowItems count="6">
    <i>
      <x/>
    </i>
    <i>
      <x v="1"/>
    </i>
    <i>
      <x v="2"/>
    </i>
    <i>
      <x v="3"/>
    </i>
    <i>
      <x v="4"/>
    </i>
    <i t="grand">
      <x/>
    </i>
  </rowItems>
  <colFields count="1">
    <field x="2"/>
  </colFields>
  <colItems count="6">
    <i>
      <x/>
    </i>
    <i>
      <x v="1"/>
    </i>
    <i>
      <x v="2"/>
    </i>
    <i>
      <x v="3"/>
    </i>
    <i>
      <x v="4"/>
    </i>
    <i t="grand">
      <x/>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CCE6C38-525D-4CF2-9643-D6811BCED423}" name="PivotTable2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15:C21" firstHeaderRow="1" firstDataRow="1" firstDataCol="1"/>
  <pivotFields count="10">
    <pivotField showAll="0"/>
    <pivotField showAll="0"/>
    <pivotField axis="axisRow" showAll="0">
      <items count="6">
        <item x="3"/>
        <item x="4"/>
        <item x="2"/>
        <item x="0"/>
        <item x="1"/>
        <item t="default"/>
      </items>
    </pivotField>
    <pivotField showAll="0"/>
    <pivotField showAll="0"/>
    <pivotField showAll="0"/>
    <pivotField showAll="0"/>
    <pivotField showAll="0"/>
    <pivotField dataField="1" showAll="0"/>
    <pivotField showAll="0"/>
  </pivotFields>
  <rowFields count="1">
    <field x="2"/>
  </rowFields>
  <rowItems count="6">
    <i>
      <x/>
    </i>
    <i>
      <x v="1"/>
    </i>
    <i>
      <x v="2"/>
    </i>
    <i>
      <x v="3"/>
    </i>
    <i>
      <x v="4"/>
    </i>
    <i t="grand">
      <x/>
    </i>
  </rowItems>
  <colItems count="1">
    <i/>
  </colItems>
  <dataFields count="1">
    <dataField name="Sum of Monthly_Salary" fld="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4FCC024-8CC1-4119-9A49-9833520C5B86}" name="PivotTable2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6:D12" firstHeaderRow="0" firstDataRow="1" firstDataCol="1"/>
  <pivotFields count="10">
    <pivotField dataField="1" showAll="0"/>
    <pivotField showAll="0"/>
    <pivotField axis="axisRow" showAll="0">
      <items count="6">
        <item x="3"/>
        <item x="4"/>
        <item x="2"/>
        <item x="0"/>
        <item x="1"/>
        <item t="default"/>
      </items>
    </pivotField>
    <pivotField showAll="0"/>
    <pivotField showAll="0">
      <items count="5">
        <item x="1"/>
        <item x="2"/>
        <item x="0"/>
        <item x="3"/>
        <item t="default"/>
      </items>
    </pivotField>
    <pivotField showAll="0"/>
    <pivotField showAll="0">
      <items count="3">
        <item x="0"/>
        <item x="1"/>
        <item t="default"/>
      </items>
    </pivotField>
    <pivotField showAll="0">
      <items count="6">
        <item x="1"/>
        <item x="4"/>
        <item x="0"/>
        <item x="2"/>
        <item x="3"/>
        <item t="default"/>
      </items>
    </pivotField>
    <pivotField dataField="1" showAll="0"/>
    <pivotField showAll="0"/>
  </pivotFields>
  <rowFields count="1">
    <field x="2"/>
  </rowFields>
  <rowItems count="6">
    <i>
      <x/>
    </i>
    <i>
      <x v="1"/>
    </i>
    <i>
      <x v="2"/>
    </i>
    <i>
      <x v="3"/>
    </i>
    <i>
      <x v="4"/>
    </i>
    <i t="grand">
      <x/>
    </i>
  </rowItems>
  <colFields count="1">
    <field x="-2"/>
  </colFields>
  <colItems count="2">
    <i>
      <x/>
    </i>
    <i i="1">
      <x v="1"/>
    </i>
  </colItems>
  <dataFields count="2">
    <dataField name="Average of Monthly_Salary" fld="8" subtotal="average" baseField="2" baseItem="0"/>
    <dataField name="Count of EmployeeID" fld="0" subtotal="count" baseField="2"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A43148D-BE3E-4D5D-BFBD-34FF0C98DDDD}" name="PivotTable2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I14:J19" firstHeaderRow="1" firstDataRow="1" firstDataCol="1"/>
  <pivotFields count="10">
    <pivotField showAll="0"/>
    <pivotField showAll="0"/>
    <pivotField showAll="0"/>
    <pivotField showAll="0"/>
    <pivotField showAll="0"/>
    <pivotField showAll="0"/>
    <pivotField showAll="0"/>
    <pivotField showAll="0"/>
    <pivotField dataField="1" showAll="0"/>
    <pivotField axis="axisRow" showAll="0" sortType="descending">
      <items count="5">
        <item x="0"/>
        <item x="3"/>
        <item x="2"/>
        <item x="1"/>
        <item t="default"/>
      </items>
      <autoSortScope>
        <pivotArea dataOnly="0" outline="0" fieldPosition="0">
          <references count="1">
            <reference field="4294967294" count="1" selected="0">
              <x v="0"/>
            </reference>
          </references>
        </pivotArea>
      </autoSortScope>
    </pivotField>
  </pivotFields>
  <rowFields count="1">
    <field x="9"/>
  </rowFields>
  <rowItems count="5">
    <i>
      <x v="3"/>
    </i>
    <i>
      <x/>
    </i>
    <i>
      <x v="2"/>
    </i>
    <i>
      <x v="1"/>
    </i>
    <i t="grand">
      <x/>
    </i>
  </rowItems>
  <colItems count="1">
    <i/>
  </colItems>
  <dataFields count="1">
    <dataField name="Average of Monthly_Salary" fld="8" subtotal="average" baseField="9"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C9B431C-2048-4F08-9357-D8D0A31571A8}" name="PivotTable2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I6:J11" firstHeaderRow="1" firstDataRow="1" firstDataCol="1"/>
  <pivotFields count="10">
    <pivotField showAll="0"/>
    <pivotField showAll="0"/>
    <pivotField showAll="0"/>
    <pivotField showAll="0"/>
    <pivotField axis="axisRow" showAll="0">
      <items count="5">
        <item x="1"/>
        <item x="2"/>
        <item x="0"/>
        <item x="3"/>
        <item t="default"/>
      </items>
    </pivotField>
    <pivotField showAll="0"/>
    <pivotField showAll="0"/>
    <pivotField showAll="0"/>
    <pivotField dataField="1" showAll="0"/>
    <pivotField showAll="0">
      <items count="5">
        <item x="0"/>
        <item x="3"/>
        <item x="2"/>
        <item x="1"/>
        <item t="default"/>
      </items>
    </pivotField>
  </pivotFields>
  <rowFields count="1">
    <field x="4"/>
  </rowFields>
  <rowItems count="5">
    <i>
      <x/>
    </i>
    <i>
      <x v="1"/>
    </i>
    <i>
      <x v="2"/>
    </i>
    <i>
      <x v="3"/>
    </i>
    <i t="grand">
      <x/>
    </i>
  </rowItems>
  <colItems count="1">
    <i/>
  </colItems>
  <dataFields count="1">
    <dataField name="Average of Monthly_Salary" fld="8" subtotal="average" baseField="4"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699F6CD-FAC8-4BDC-BDFF-5B019428F04F}" name="PivotTable2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F15:G18" firstHeaderRow="1" firstDataRow="1" firstDataCol="1"/>
  <pivotFields count="10">
    <pivotField showAll="0"/>
    <pivotField showAll="0"/>
    <pivotField showAll="0"/>
    <pivotField showAll="0"/>
    <pivotField showAll="0"/>
    <pivotField showAll="0"/>
    <pivotField axis="axisRow" showAll="0">
      <items count="3">
        <item x="0"/>
        <item x="1"/>
        <item t="default"/>
      </items>
    </pivotField>
    <pivotField showAll="0"/>
    <pivotField dataField="1" showAll="0"/>
    <pivotField showAll="0"/>
  </pivotFields>
  <rowFields count="1">
    <field x="6"/>
  </rowFields>
  <rowItems count="3">
    <i>
      <x/>
    </i>
    <i>
      <x v="1"/>
    </i>
    <i t="grand">
      <x/>
    </i>
  </rowItems>
  <colItems count="1">
    <i/>
  </colItems>
  <dataFields count="1">
    <dataField name="Average of Monthly_Salary" fld="8" subtotal="average" baseField="6"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DE9E520D-21EF-4252-A2C4-AAE9DC840217}" name="PivotTable2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F6:G12" firstHeaderRow="1" firstDataRow="1" firstDataCol="1"/>
  <pivotFields count="10">
    <pivotField showAll="0"/>
    <pivotField showAll="0"/>
    <pivotField showAll="0"/>
    <pivotField showAll="0"/>
    <pivotField showAll="0"/>
    <pivotField showAll="0"/>
    <pivotField showAll="0"/>
    <pivotField axis="axisRow" showAll="0">
      <items count="6">
        <item x="1"/>
        <item x="4"/>
        <item x="0"/>
        <item x="2"/>
        <item x="3"/>
        <item t="default"/>
      </items>
    </pivotField>
    <pivotField dataField="1" showAll="0"/>
    <pivotField showAll="0"/>
  </pivotFields>
  <rowFields count="1">
    <field x="7"/>
  </rowFields>
  <rowItems count="6">
    <i>
      <x/>
    </i>
    <i>
      <x v="1"/>
    </i>
    <i>
      <x v="2"/>
    </i>
    <i>
      <x v="3"/>
    </i>
    <i>
      <x v="4"/>
    </i>
    <i t="grand">
      <x/>
    </i>
  </rowItems>
  <colItems count="1">
    <i/>
  </colItems>
  <dataFields count="1">
    <dataField name="Average of Monthly_Salary" fld="8" subtotal="average" baseField="7"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2B4D0E2E-F8FC-493B-8168-39FD9EC78031}" sourceName="Department">
  <pivotTables>
    <pivotTable tabId="18" name="PivotTable21"/>
  </pivotTables>
  <data>
    <tabular pivotCacheId="1167475143">
      <items count="5">
        <i x="3" s="1"/>
        <i x="4" s="1"/>
        <i x="2"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_Level" xr10:uid="{9ED3AB7C-2CED-4D79-BE54-5187171C3BED}" sourceName="Education_Level">
  <pivotTables>
    <pivotTable tabId="18" name="PivotTable21"/>
  </pivotTables>
  <data>
    <tabular pivotCacheId="1167475143">
      <items count="4">
        <i x="1" s="1"/>
        <i x="2" s="1"/>
        <i x="0"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5192ED02-FAF4-468F-95AE-771E2D6C34C7}" sourceName="Gender">
  <pivotTables>
    <pivotTable tabId="18" name="PivotTable21"/>
  </pivotTables>
  <data>
    <tabular pivotCacheId="1167475143">
      <items count="2">
        <i x="0"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9A7D4240-0376-4C5E-ACBD-985013641F5F}" sourceName="City">
  <pivotTables>
    <pivotTable tabId="18" name="PivotTable21"/>
  </pivotTables>
  <data>
    <tabular pivotCacheId="1167475143">
      <items count="5">
        <i x="1" s="1"/>
        <i x="4" s="1"/>
        <i x="0" s="1"/>
        <i x="2"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xr10:uid="{D630BC88-B645-47EB-BDC5-099E7E65DC6B}" cache="Slicer_Department" caption="Department" style="SlicerStyleDark4" rowHeight="247650"/>
  <slicer name="Education_Level" xr10:uid="{156A0985-2FF0-455E-9063-E5BCBDD964B6}" cache="Slicer_Education_Level" caption="Education_Level" style="SlicerStyleDark4" rowHeight="247650"/>
  <slicer name="Gender" xr10:uid="{965B2E81-DAE6-4B8F-8ED7-A795131409DD}" cache="Slicer_Gender" caption="Gender" style="SlicerStyleDark4" rowHeight="247650"/>
  <slicer name="City" xr10:uid="{EAC60ECE-A301-4790-B552-7797D650E56A}" cache="Slicer_City" caption="City" style="SlicerStyleDark4"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8EB7AB8-C72F-4EC2-B9D0-99748E510DD0}" name="tblEmployee" displayName="tblEmployee" ref="A1:J51" totalsRowShown="0">
  <autoFilter ref="A1:J51" xr:uid="{A8EB7AB8-C72F-4EC2-B9D0-99748E510DD0}"/>
  <tableColumns count="10">
    <tableColumn id="1" xr3:uid="{55A719E7-9823-4B94-BEAD-01EA123031C1}" name="EmployeeID"/>
    <tableColumn id="2" xr3:uid="{41138B8E-599D-4810-96AD-823E4A4EB2FC}" name="Name"/>
    <tableColumn id="3" xr3:uid="{20735373-91C8-4210-8514-39100312A303}" name="Department"/>
    <tableColumn id="4" xr3:uid="{7D9363AD-28CD-41C5-90D2-8F0D12EDECE5}" name="Experience_Years"/>
    <tableColumn id="5" xr3:uid="{438BE605-BD19-4CC4-9091-8F18D1080D70}" name="Education_Level"/>
    <tableColumn id="6" xr3:uid="{593903BB-A52E-4F14-A1DE-900353BD844D}" name="Age"/>
    <tableColumn id="7" xr3:uid="{D46528BF-AA07-4321-804C-09407A1B0266}" name="Gender"/>
    <tableColumn id="8" xr3:uid="{E204F5A5-F8ED-4C72-B74C-76F841E7BE8F}" name="City"/>
    <tableColumn id="9" xr3:uid="{071B1062-2EDA-494C-8C94-6726110FF921}" name="Monthly_Salary"/>
    <tableColumn id="12" xr3:uid="{3A5B9075-F7D1-4329-AAFC-091DAF213929}" name="Experience_Group" dataDxfId="1">
      <calculatedColumnFormula>IF(tblEmployee[[#This Row],[Experience_Years]]&lt;=2, "Junior", IF(tblEmployee[[#This Row],[Experience_Years]]&lt;=5, "Mid-Level", IF(tblEmployee[[#This Row],[Experience_Years]]&lt;=8, "Senior", "Expert")))</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3" Type="http://schemas.openxmlformats.org/officeDocument/2006/relationships/pivotTable" Target="../pivotTables/pivotTable4.xml"/><Relationship Id="rId2" Type="http://schemas.openxmlformats.org/officeDocument/2006/relationships/pivotTable" Target="../pivotTables/pivotTable3.xml"/><Relationship Id="rId1" Type="http://schemas.openxmlformats.org/officeDocument/2006/relationships/pivotTable" Target="../pivotTables/pivotTable2.xml"/><Relationship Id="rId6" Type="http://schemas.openxmlformats.org/officeDocument/2006/relationships/pivotTable" Target="../pivotTables/pivotTable7.xml"/><Relationship Id="rId5" Type="http://schemas.openxmlformats.org/officeDocument/2006/relationships/pivotTable" Target="../pivotTables/pivotTable6.xml"/><Relationship Id="rId4"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695B25-B349-4A7E-8DE8-D61971560781}">
  <dimension ref="A1:I51"/>
  <sheetViews>
    <sheetView workbookViewId="0">
      <selection sqref="A1:I51"/>
    </sheetView>
  </sheetViews>
  <sheetFormatPr defaultRowHeight="14.4" x14ac:dyDescent="0.3"/>
  <cols>
    <col min="1" max="1" width="10.44140625" bestFit="1" customWidth="1"/>
    <col min="2" max="2" width="11.5546875" bestFit="1" customWidth="1"/>
    <col min="3" max="3" width="10.5546875" bestFit="1" customWidth="1"/>
    <col min="4" max="4" width="15.33203125" bestFit="1" customWidth="1"/>
    <col min="5" max="5" width="14" bestFit="1" customWidth="1"/>
    <col min="6" max="6" width="4" bestFit="1" customWidth="1"/>
    <col min="7" max="7" width="7" bestFit="1" customWidth="1"/>
    <col min="8" max="8" width="9.77734375" bestFit="1" customWidth="1"/>
    <col min="9" max="9" width="12.88671875" bestFit="1" customWidth="1"/>
  </cols>
  <sheetData>
    <row r="1" spans="1:9" x14ac:dyDescent="0.3">
      <c r="A1" t="s">
        <v>0</v>
      </c>
      <c r="B1" t="s">
        <v>1</v>
      </c>
      <c r="C1" t="s">
        <v>2</v>
      </c>
      <c r="D1" t="s">
        <v>3</v>
      </c>
      <c r="E1" t="s">
        <v>4</v>
      </c>
      <c r="F1" t="s">
        <v>5</v>
      </c>
      <c r="G1" t="s">
        <v>6</v>
      </c>
      <c r="H1" t="s">
        <v>7</v>
      </c>
      <c r="I1" t="s">
        <v>8</v>
      </c>
    </row>
    <row r="2" spans="1:9" x14ac:dyDescent="0.3">
      <c r="A2">
        <v>1</v>
      </c>
      <c r="B2" t="s">
        <v>9</v>
      </c>
      <c r="C2" t="s">
        <v>10</v>
      </c>
      <c r="D2">
        <v>15</v>
      </c>
      <c r="E2" t="s">
        <v>11</v>
      </c>
      <c r="F2">
        <v>53</v>
      </c>
      <c r="G2" t="s">
        <v>12</v>
      </c>
      <c r="H2" t="s">
        <v>13</v>
      </c>
      <c r="I2">
        <v>111416</v>
      </c>
    </row>
    <row r="3" spans="1:9" x14ac:dyDescent="0.3">
      <c r="A3">
        <v>2</v>
      </c>
      <c r="B3" t="s">
        <v>14</v>
      </c>
      <c r="C3" t="s">
        <v>15</v>
      </c>
      <c r="D3">
        <v>7</v>
      </c>
      <c r="E3" t="s">
        <v>16</v>
      </c>
      <c r="F3">
        <v>25</v>
      </c>
      <c r="G3" t="s">
        <v>12</v>
      </c>
      <c r="H3" t="s">
        <v>17</v>
      </c>
      <c r="I3">
        <v>95271</v>
      </c>
    </row>
    <row r="4" spans="1:9" x14ac:dyDescent="0.3">
      <c r="A4">
        <v>3</v>
      </c>
      <c r="B4" t="s">
        <v>18</v>
      </c>
      <c r="C4" t="s">
        <v>19</v>
      </c>
      <c r="D4">
        <v>12</v>
      </c>
      <c r="E4" t="s">
        <v>20</v>
      </c>
      <c r="F4">
        <v>51</v>
      </c>
      <c r="G4" t="s">
        <v>12</v>
      </c>
      <c r="H4" t="s">
        <v>21</v>
      </c>
      <c r="I4">
        <v>69064</v>
      </c>
    </row>
    <row r="5" spans="1:9" x14ac:dyDescent="0.3">
      <c r="A5">
        <v>4</v>
      </c>
      <c r="B5" t="s">
        <v>22</v>
      </c>
      <c r="C5" t="s">
        <v>15</v>
      </c>
      <c r="D5">
        <v>8</v>
      </c>
      <c r="E5" t="s">
        <v>23</v>
      </c>
      <c r="F5">
        <v>44</v>
      </c>
      <c r="G5" t="s">
        <v>24</v>
      </c>
      <c r="H5" t="s">
        <v>13</v>
      </c>
      <c r="I5">
        <v>95091</v>
      </c>
    </row>
    <row r="6" spans="1:9" x14ac:dyDescent="0.3">
      <c r="A6">
        <v>5</v>
      </c>
      <c r="B6" t="s">
        <v>25</v>
      </c>
      <c r="C6" t="s">
        <v>15</v>
      </c>
      <c r="D6">
        <v>15</v>
      </c>
      <c r="E6" t="s">
        <v>11</v>
      </c>
      <c r="F6">
        <v>36</v>
      </c>
      <c r="G6" t="s">
        <v>12</v>
      </c>
      <c r="H6" t="s">
        <v>13</v>
      </c>
      <c r="I6">
        <v>132450</v>
      </c>
    </row>
    <row r="7" spans="1:9" x14ac:dyDescent="0.3">
      <c r="A7">
        <v>6</v>
      </c>
      <c r="B7" t="s">
        <v>26</v>
      </c>
      <c r="C7" t="s">
        <v>27</v>
      </c>
      <c r="D7">
        <v>3</v>
      </c>
      <c r="E7" t="s">
        <v>20</v>
      </c>
      <c r="F7">
        <v>50</v>
      </c>
      <c r="G7" t="s">
        <v>24</v>
      </c>
      <c r="H7" t="s">
        <v>28</v>
      </c>
      <c r="I7">
        <v>65818</v>
      </c>
    </row>
    <row r="8" spans="1:9" x14ac:dyDescent="0.3">
      <c r="A8">
        <v>7</v>
      </c>
      <c r="B8" t="s">
        <v>29</v>
      </c>
      <c r="C8" t="s">
        <v>19</v>
      </c>
      <c r="D8">
        <v>14</v>
      </c>
      <c r="E8" t="s">
        <v>23</v>
      </c>
      <c r="F8">
        <v>57</v>
      </c>
      <c r="G8" t="s">
        <v>24</v>
      </c>
      <c r="H8" t="s">
        <v>28</v>
      </c>
      <c r="I8">
        <v>70525</v>
      </c>
    </row>
    <row r="9" spans="1:9" x14ac:dyDescent="0.3">
      <c r="A9">
        <v>8</v>
      </c>
      <c r="B9" t="s">
        <v>30</v>
      </c>
      <c r="C9" t="s">
        <v>19</v>
      </c>
      <c r="D9">
        <v>17</v>
      </c>
      <c r="E9" t="s">
        <v>23</v>
      </c>
      <c r="F9">
        <v>34</v>
      </c>
      <c r="G9" t="s">
        <v>12</v>
      </c>
      <c r="H9" t="s">
        <v>17</v>
      </c>
      <c r="I9">
        <v>44830</v>
      </c>
    </row>
    <row r="10" spans="1:9" x14ac:dyDescent="0.3">
      <c r="A10">
        <v>9</v>
      </c>
      <c r="B10" t="s">
        <v>31</v>
      </c>
      <c r="C10" t="s">
        <v>19</v>
      </c>
      <c r="D10">
        <v>4</v>
      </c>
      <c r="E10" t="s">
        <v>16</v>
      </c>
      <c r="F10">
        <v>53</v>
      </c>
      <c r="G10" t="s">
        <v>24</v>
      </c>
      <c r="H10" t="s">
        <v>21</v>
      </c>
      <c r="I10">
        <v>42429</v>
      </c>
    </row>
    <row r="11" spans="1:9" x14ac:dyDescent="0.3">
      <c r="A11">
        <v>10</v>
      </c>
      <c r="B11" t="s">
        <v>32</v>
      </c>
      <c r="C11" t="s">
        <v>15</v>
      </c>
      <c r="D11">
        <v>18</v>
      </c>
      <c r="E11" t="s">
        <v>20</v>
      </c>
      <c r="F11">
        <v>28</v>
      </c>
      <c r="G11" t="s">
        <v>24</v>
      </c>
      <c r="H11" t="s">
        <v>28</v>
      </c>
      <c r="I11">
        <v>31893</v>
      </c>
    </row>
    <row r="12" spans="1:9" x14ac:dyDescent="0.3">
      <c r="A12">
        <v>11</v>
      </c>
      <c r="B12" t="s">
        <v>33</v>
      </c>
      <c r="C12" t="s">
        <v>10</v>
      </c>
      <c r="D12">
        <v>8</v>
      </c>
      <c r="E12" t="s">
        <v>23</v>
      </c>
      <c r="F12">
        <v>43</v>
      </c>
      <c r="G12" t="s">
        <v>24</v>
      </c>
      <c r="H12" t="s">
        <v>13</v>
      </c>
      <c r="I12">
        <v>141381</v>
      </c>
    </row>
    <row r="13" spans="1:9" x14ac:dyDescent="0.3">
      <c r="A13">
        <v>12</v>
      </c>
      <c r="B13" t="s">
        <v>34</v>
      </c>
      <c r="C13" t="s">
        <v>19</v>
      </c>
      <c r="D13">
        <v>4</v>
      </c>
      <c r="E13" t="s">
        <v>11</v>
      </c>
      <c r="F13">
        <v>49</v>
      </c>
      <c r="G13" t="s">
        <v>12</v>
      </c>
      <c r="H13" t="s">
        <v>21</v>
      </c>
      <c r="I13">
        <v>104909</v>
      </c>
    </row>
    <row r="14" spans="1:9" x14ac:dyDescent="0.3">
      <c r="A14">
        <v>13</v>
      </c>
      <c r="B14" t="s">
        <v>35</v>
      </c>
      <c r="C14" t="s">
        <v>15</v>
      </c>
      <c r="D14">
        <v>2</v>
      </c>
      <c r="E14" t="s">
        <v>11</v>
      </c>
      <c r="F14">
        <v>23</v>
      </c>
      <c r="G14" t="s">
        <v>12</v>
      </c>
      <c r="H14" t="s">
        <v>21</v>
      </c>
      <c r="I14">
        <v>72333</v>
      </c>
    </row>
    <row r="15" spans="1:9" x14ac:dyDescent="0.3">
      <c r="A15">
        <v>14</v>
      </c>
      <c r="B15" t="s">
        <v>36</v>
      </c>
      <c r="C15" t="s">
        <v>27</v>
      </c>
      <c r="D15">
        <v>6</v>
      </c>
      <c r="E15" t="s">
        <v>16</v>
      </c>
      <c r="F15">
        <v>27</v>
      </c>
      <c r="G15" t="s">
        <v>24</v>
      </c>
      <c r="H15" t="s">
        <v>13</v>
      </c>
      <c r="I15">
        <v>28436</v>
      </c>
    </row>
    <row r="16" spans="1:9" x14ac:dyDescent="0.3">
      <c r="A16">
        <v>15</v>
      </c>
      <c r="B16" t="s">
        <v>37</v>
      </c>
      <c r="C16" t="s">
        <v>10</v>
      </c>
      <c r="D16">
        <v>10</v>
      </c>
      <c r="E16" t="s">
        <v>23</v>
      </c>
      <c r="F16">
        <v>49</v>
      </c>
      <c r="G16" t="s">
        <v>12</v>
      </c>
      <c r="H16" t="s">
        <v>28</v>
      </c>
      <c r="I16">
        <v>99290</v>
      </c>
    </row>
    <row r="17" spans="1:9" x14ac:dyDescent="0.3">
      <c r="A17">
        <v>16</v>
      </c>
      <c r="B17" t="s">
        <v>38</v>
      </c>
      <c r="C17" t="s">
        <v>27</v>
      </c>
      <c r="D17">
        <v>4</v>
      </c>
      <c r="E17" t="s">
        <v>20</v>
      </c>
      <c r="F17">
        <v>49</v>
      </c>
      <c r="G17" t="s">
        <v>12</v>
      </c>
      <c r="H17" t="s">
        <v>13</v>
      </c>
      <c r="I17">
        <v>101213</v>
      </c>
    </row>
    <row r="18" spans="1:9" x14ac:dyDescent="0.3">
      <c r="A18">
        <v>17</v>
      </c>
      <c r="B18" t="s">
        <v>39</v>
      </c>
      <c r="C18" t="s">
        <v>10</v>
      </c>
      <c r="D18">
        <v>18</v>
      </c>
      <c r="E18" t="s">
        <v>11</v>
      </c>
      <c r="F18">
        <v>41</v>
      </c>
      <c r="G18" t="s">
        <v>12</v>
      </c>
      <c r="H18" t="s">
        <v>21</v>
      </c>
      <c r="I18">
        <v>30895</v>
      </c>
    </row>
    <row r="19" spans="1:9" x14ac:dyDescent="0.3">
      <c r="A19">
        <v>18</v>
      </c>
      <c r="B19" t="s">
        <v>40</v>
      </c>
      <c r="C19" t="s">
        <v>15</v>
      </c>
      <c r="D19">
        <v>12</v>
      </c>
      <c r="E19" t="s">
        <v>23</v>
      </c>
      <c r="F19">
        <v>51</v>
      </c>
      <c r="G19" t="s">
        <v>12</v>
      </c>
      <c r="H19" t="s">
        <v>41</v>
      </c>
      <c r="I19">
        <v>44738</v>
      </c>
    </row>
    <row r="20" spans="1:9" x14ac:dyDescent="0.3">
      <c r="A20">
        <v>19</v>
      </c>
      <c r="B20" t="s">
        <v>42</v>
      </c>
      <c r="C20" t="s">
        <v>43</v>
      </c>
      <c r="D20">
        <v>2</v>
      </c>
      <c r="E20" t="s">
        <v>23</v>
      </c>
      <c r="F20">
        <v>32</v>
      </c>
      <c r="G20" t="s">
        <v>24</v>
      </c>
      <c r="H20" t="s">
        <v>41</v>
      </c>
      <c r="I20">
        <v>55746</v>
      </c>
    </row>
    <row r="21" spans="1:9" x14ac:dyDescent="0.3">
      <c r="A21">
        <v>20</v>
      </c>
      <c r="B21" t="s">
        <v>44</v>
      </c>
      <c r="C21" t="s">
        <v>10</v>
      </c>
      <c r="D21">
        <v>10</v>
      </c>
      <c r="E21" t="s">
        <v>16</v>
      </c>
      <c r="F21">
        <v>49</v>
      </c>
      <c r="G21" t="s">
        <v>24</v>
      </c>
      <c r="H21" t="s">
        <v>17</v>
      </c>
      <c r="I21">
        <v>74377</v>
      </c>
    </row>
    <row r="22" spans="1:9" x14ac:dyDescent="0.3">
      <c r="A22">
        <v>21</v>
      </c>
      <c r="B22" t="s">
        <v>45</v>
      </c>
      <c r="C22" t="s">
        <v>27</v>
      </c>
      <c r="D22">
        <v>4</v>
      </c>
      <c r="E22" t="s">
        <v>11</v>
      </c>
      <c r="F22">
        <v>46</v>
      </c>
      <c r="G22" t="s">
        <v>12</v>
      </c>
      <c r="H22" t="s">
        <v>13</v>
      </c>
      <c r="I22">
        <v>73404</v>
      </c>
    </row>
    <row r="23" spans="1:9" x14ac:dyDescent="0.3">
      <c r="A23">
        <v>22</v>
      </c>
      <c r="B23" t="s">
        <v>46</v>
      </c>
      <c r="C23" t="s">
        <v>15</v>
      </c>
      <c r="D23">
        <v>14</v>
      </c>
      <c r="E23" t="s">
        <v>11</v>
      </c>
      <c r="F23">
        <v>54</v>
      </c>
      <c r="G23" t="s">
        <v>12</v>
      </c>
      <c r="H23" t="s">
        <v>13</v>
      </c>
      <c r="I23">
        <v>79045</v>
      </c>
    </row>
    <row r="24" spans="1:9" x14ac:dyDescent="0.3">
      <c r="A24">
        <v>23</v>
      </c>
      <c r="B24" t="s">
        <v>47</v>
      </c>
      <c r="C24" t="s">
        <v>10</v>
      </c>
      <c r="D24">
        <v>16</v>
      </c>
      <c r="E24" t="s">
        <v>20</v>
      </c>
      <c r="F24">
        <v>22</v>
      </c>
      <c r="G24" t="s">
        <v>24</v>
      </c>
      <c r="H24" t="s">
        <v>17</v>
      </c>
      <c r="I24">
        <v>122888</v>
      </c>
    </row>
    <row r="25" spans="1:9" x14ac:dyDescent="0.3">
      <c r="A25">
        <v>24</v>
      </c>
      <c r="B25" t="s">
        <v>48</v>
      </c>
      <c r="C25" t="s">
        <v>43</v>
      </c>
      <c r="D25">
        <v>15</v>
      </c>
      <c r="E25" t="s">
        <v>11</v>
      </c>
      <c r="F25">
        <v>48</v>
      </c>
      <c r="G25" t="s">
        <v>24</v>
      </c>
      <c r="H25" t="s">
        <v>17</v>
      </c>
      <c r="I25">
        <v>64790</v>
      </c>
    </row>
    <row r="26" spans="1:9" x14ac:dyDescent="0.3">
      <c r="A26">
        <v>25</v>
      </c>
      <c r="B26" t="s">
        <v>49</v>
      </c>
      <c r="C26" t="s">
        <v>43</v>
      </c>
      <c r="D26">
        <v>8</v>
      </c>
      <c r="E26" t="s">
        <v>20</v>
      </c>
      <c r="F26">
        <v>34</v>
      </c>
      <c r="G26" t="s">
        <v>12</v>
      </c>
      <c r="H26" t="s">
        <v>17</v>
      </c>
      <c r="I26">
        <v>132455</v>
      </c>
    </row>
    <row r="27" spans="1:9" x14ac:dyDescent="0.3">
      <c r="A27">
        <v>26</v>
      </c>
      <c r="B27" t="s">
        <v>50</v>
      </c>
      <c r="C27" t="s">
        <v>19</v>
      </c>
      <c r="D27">
        <v>14</v>
      </c>
      <c r="E27" t="s">
        <v>11</v>
      </c>
      <c r="F27">
        <v>24</v>
      </c>
      <c r="G27" t="s">
        <v>24</v>
      </c>
      <c r="H27" t="s">
        <v>21</v>
      </c>
      <c r="I27">
        <v>30600</v>
      </c>
    </row>
    <row r="28" spans="1:9" x14ac:dyDescent="0.3">
      <c r="A28">
        <v>27</v>
      </c>
      <c r="B28" t="s">
        <v>51</v>
      </c>
      <c r="C28" t="s">
        <v>19</v>
      </c>
      <c r="D28">
        <v>8</v>
      </c>
      <c r="E28" t="s">
        <v>16</v>
      </c>
      <c r="F28">
        <v>27</v>
      </c>
      <c r="G28" t="s">
        <v>12</v>
      </c>
      <c r="H28" t="s">
        <v>13</v>
      </c>
      <c r="I28">
        <v>119660</v>
      </c>
    </row>
    <row r="29" spans="1:9" x14ac:dyDescent="0.3">
      <c r="A29">
        <v>28</v>
      </c>
      <c r="B29" t="s">
        <v>52</v>
      </c>
      <c r="C29" t="s">
        <v>27</v>
      </c>
      <c r="D29">
        <v>16</v>
      </c>
      <c r="E29" t="s">
        <v>11</v>
      </c>
      <c r="F29">
        <v>29</v>
      </c>
      <c r="G29" t="s">
        <v>12</v>
      </c>
      <c r="H29" t="s">
        <v>21</v>
      </c>
      <c r="I29">
        <v>118179</v>
      </c>
    </row>
    <row r="30" spans="1:9" x14ac:dyDescent="0.3">
      <c r="A30">
        <v>29</v>
      </c>
      <c r="B30" t="s">
        <v>53</v>
      </c>
      <c r="C30" t="s">
        <v>10</v>
      </c>
      <c r="D30">
        <v>13</v>
      </c>
      <c r="E30" t="s">
        <v>20</v>
      </c>
      <c r="F30">
        <v>48</v>
      </c>
      <c r="G30" t="s">
        <v>24</v>
      </c>
      <c r="H30" t="s">
        <v>17</v>
      </c>
      <c r="I30">
        <v>65764</v>
      </c>
    </row>
    <row r="31" spans="1:9" x14ac:dyDescent="0.3">
      <c r="A31">
        <v>30</v>
      </c>
      <c r="B31" t="s">
        <v>54</v>
      </c>
      <c r="C31" t="s">
        <v>10</v>
      </c>
      <c r="D31">
        <v>18</v>
      </c>
      <c r="E31" t="s">
        <v>20</v>
      </c>
      <c r="F31">
        <v>30</v>
      </c>
      <c r="G31" t="s">
        <v>24</v>
      </c>
      <c r="H31" t="s">
        <v>13</v>
      </c>
      <c r="I31">
        <v>99543</v>
      </c>
    </row>
    <row r="32" spans="1:9" x14ac:dyDescent="0.3">
      <c r="A32">
        <v>31</v>
      </c>
      <c r="B32" t="s">
        <v>55</v>
      </c>
      <c r="C32" t="s">
        <v>19</v>
      </c>
      <c r="D32">
        <v>15</v>
      </c>
      <c r="E32" t="s">
        <v>16</v>
      </c>
      <c r="F32">
        <v>54</v>
      </c>
      <c r="G32" t="s">
        <v>12</v>
      </c>
      <c r="H32" t="s">
        <v>21</v>
      </c>
      <c r="I32">
        <v>70714</v>
      </c>
    </row>
    <row r="33" spans="1:9" x14ac:dyDescent="0.3">
      <c r="A33">
        <v>32</v>
      </c>
      <c r="B33" t="s">
        <v>56</v>
      </c>
      <c r="C33" t="s">
        <v>10</v>
      </c>
      <c r="D33">
        <v>13</v>
      </c>
      <c r="E33" t="s">
        <v>11</v>
      </c>
      <c r="F33">
        <v>45</v>
      </c>
      <c r="G33" t="s">
        <v>12</v>
      </c>
      <c r="H33" t="s">
        <v>21</v>
      </c>
      <c r="I33">
        <v>81835</v>
      </c>
    </row>
    <row r="34" spans="1:9" x14ac:dyDescent="0.3">
      <c r="A34">
        <v>33</v>
      </c>
      <c r="B34" t="s">
        <v>57</v>
      </c>
      <c r="C34" t="s">
        <v>10</v>
      </c>
      <c r="D34">
        <v>9</v>
      </c>
      <c r="E34" t="s">
        <v>11</v>
      </c>
      <c r="F34">
        <v>36</v>
      </c>
      <c r="G34" t="s">
        <v>24</v>
      </c>
      <c r="H34" t="s">
        <v>17</v>
      </c>
      <c r="I34">
        <v>127946</v>
      </c>
    </row>
    <row r="35" spans="1:9" x14ac:dyDescent="0.3">
      <c r="A35">
        <v>34</v>
      </c>
      <c r="B35" t="s">
        <v>58</v>
      </c>
      <c r="C35" t="s">
        <v>43</v>
      </c>
      <c r="D35">
        <v>15</v>
      </c>
      <c r="E35" t="s">
        <v>16</v>
      </c>
      <c r="F35">
        <v>53</v>
      </c>
      <c r="G35" t="s">
        <v>12</v>
      </c>
      <c r="H35" t="s">
        <v>13</v>
      </c>
      <c r="I35">
        <v>134616</v>
      </c>
    </row>
    <row r="36" spans="1:9" x14ac:dyDescent="0.3">
      <c r="A36">
        <v>35</v>
      </c>
      <c r="B36" t="s">
        <v>59</v>
      </c>
      <c r="C36" t="s">
        <v>19</v>
      </c>
      <c r="D36">
        <v>13</v>
      </c>
      <c r="E36" t="s">
        <v>11</v>
      </c>
      <c r="F36">
        <v>53</v>
      </c>
      <c r="G36" t="s">
        <v>24</v>
      </c>
      <c r="H36" t="s">
        <v>17</v>
      </c>
      <c r="I36">
        <v>130983</v>
      </c>
    </row>
    <row r="37" spans="1:9" x14ac:dyDescent="0.3">
      <c r="A37">
        <v>36</v>
      </c>
      <c r="B37" t="s">
        <v>60</v>
      </c>
      <c r="C37" t="s">
        <v>15</v>
      </c>
      <c r="D37">
        <v>1</v>
      </c>
      <c r="E37" t="s">
        <v>11</v>
      </c>
      <c r="F37">
        <v>45</v>
      </c>
      <c r="G37" t="s">
        <v>12</v>
      </c>
      <c r="H37" t="s">
        <v>13</v>
      </c>
      <c r="I37">
        <v>98744</v>
      </c>
    </row>
    <row r="38" spans="1:9" x14ac:dyDescent="0.3">
      <c r="A38">
        <v>37</v>
      </c>
      <c r="B38" t="s">
        <v>61</v>
      </c>
      <c r="C38" t="s">
        <v>19</v>
      </c>
      <c r="D38">
        <v>7</v>
      </c>
      <c r="E38" t="s">
        <v>20</v>
      </c>
      <c r="F38">
        <v>33</v>
      </c>
      <c r="G38" t="s">
        <v>24</v>
      </c>
      <c r="H38" t="s">
        <v>41</v>
      </c>
      <c r="I38">
        <v>81491</v>
      </c>
    </row>
    <row r="39" spans="1:9" x14ac:dyDescent="0.3">
      <c r="A39">
        <v>38</v>
      </c>
      <c r="B39" t="s">
        <v>62</v>
      </c>
      <c r="C39" t="s">
        <v>15</v>
      </c>
      <c r="D39">
        <v>9</v>
      </c>
      <c r="E39" t="s">
        <v>11</v>
      </c>
      <c r="F39">
        <v>23</v>
      </c>
      <c r="G39" t="s">
        <v>24</v>
      </c>
      <c r="H39" t="s">
        <v>28</v>
      </c>
      <c r="I39">
        <v>149123</v>
      </c>
    </row>
    <row r="40" spans="1:9" x14ac:dyDescent="0.3">
      <c r="A40">
        <v>39</v>
      </c>
      <c r="B40" t="s">
        <v>63</v>
      </c>
      <c r="C40" t="s">
        <v>43</v>
      </c>
      <c r="D40">
        <v>1</v>
      </c>
      <c r="E40" t="s">
        <v>11</v>
      </c>
      <c r="F40">
        <v>24</v>
      </c>
      <c r="G40" t="s">
        <v>24</v>
      </c>
      <c r="H40" t="s">
        <v>28</v>
      </c>
      <c r="I40">
        <v>43589</v>
      </c>
    </row>
    <row r="41" spans="1:9" x14ac:dyDescent="0.3">
      <c r="A41">
        <v>40</v>
      </c>
      <c r="B41" t="s">
        <v>64</v>
      </c>
      <c r="C41" t="s">
        <v>27</v>
      </c>
      <c r="D41">
        <v>12</v>
      </c>
      <c r="E41" t="s">
        <v>16</v>
      </c>
      <c r="F41">
        <v>38</v>
      </c>
      <c r="G41" t="s">
        <v>12</v>
      </c>
      <c r="H41" t="s">
        <v>28</v>
      </c>
      <c r="I41">
        <v>68484</v>
      </c>
    </row>
    <row r="42" spans="1:9" x14ac:dyDescent="0.3">
      <c r="A42">
        <v>41</v>
      </c>
      <c r="B42" t="s">
        <v>65</v>
      </c>
      <c r="C42" t="s">
        <v>10</v>
      </c>
      <c r="D42">
        <v>8</v>
      </c>
      <c r="E42" t="s">
        <v>16</v>
      </c>
      <c r="F42">
        <v>23</v>
      </c>
      <c r="G42" t="s">
        <v>12</v>
      </c>
      <c r="H42" t="s">
        <v>17</v>
      </c>
      <c r="I42">
        <v>107989</v>
      </c>
    </row>
    <row r="43" spans="1:9" x14ac:dyDescent="0.3">
      <c r="A43">
        <v>42</v>
      </c>
      <c r="B43" t="s">
        <v>66</v>
      </c>
      <c r="C43" t="s">
        <v>43</v>
      </c>
      <c r="D43">
        <v>11</v>
      </c>
      <c r="E43" t="s">
        <v>23</v>
      </c>
      <c r="F43">
        <v>23</v>
      </c>
      <c r="G43" t="s">
        <v>24</v>
      </c>
      <c r="H43" t="s">
        <v>41</v>
      </c>
      <c r="I43">
        <v>61212</v>
      </c>
    </row>
    <row r="44" spans="1:9" x14ac:dyDescent="0.3">
      <c r="A44">
        <v>43</v>
      </c>
      <c r="B44" t="s">
        <v>67</v>
      </c>
      <c r="C44" t="s">
        <v>10</v>
      </c>
      <c r="D44">
        <v>19</v>
      </c>
      <c r="E44" t="s">
        <v>20</v>
      </c>
      <c r="F44">
        <v>49</v>
      </c>
      <c r="G44" t="s">
        <v>12</v>
      </c>
      <c r="H44" t="s">
        <v>13</v>
      </c>
      <c r="I44">
        <v>68525</v>
      </c>
    </row>
    <row r="45" spans="1:9" x14ac:dyDescent="0.3">
      <c r="A45">
        <v>44</v>
      </c>
      <c r="B45" t="s">
        <v>68</v>
      </c>
      <c r="C45" t="s">
        <v>27</v>
      </c>
      <c r="D45">
        <v>17</v>
      </c>
      <c r="E45" t="s">
        <v>11</v>
      </c>
      <c r="F45">
        <v>44</v>
      </c>
      <c r="G45" t="s">
        <v>24</v>
      </c>
      <c r="H45" t="s">
        <v>21</v>
      </c>
      <c r="I45">
        <v>72202</v>
      </c>
    </row>
    <row r="46" spans="1:9" x14ac:dyDescent="0.3">
      <c r="A46">
        <v>45</v>
      </c>
      <c r="B46" t="s">
        <v>69</v>
      </c>
      <c r="C46" t="s">
        <v>27</v>
      </c>
      <c r="D46">
        <v>8</v>
      </c>
      <c r="E46" t="s">
        <v>11</v>
      </c>
      <c r="F46">
        <v>53</v>
      </c>
      <c r="G46" t="s">
        <v>24</v>
      </c>
      <c r="H46" t="s">
        <v>13</v>
      </c>
      <c r="I46">
        <v>57635</v>
      </c>
    </row>
    <row r="47" spans="1:9" x14ac:dyDescent="0.3">
      <c r="A47">
        <v>46</v>
      </c>
      <c r="B47" t="s">
        <v>70</v>
      </c>
      <c r="C47" t="s">
        <v>43</v>
      </c>
      <c r="D47">
        <v>3</v>
      </c>
      <c r="E47" t="s">
        <v>23</v>
      </c>
      <c r="F47">
        <v>54</v>
      </c>
      <c r="G47" t="s">
        <v>12</v>
      </c>
      <c r="H47" t="s">
        <v>21</v>
      </c>
      <c r="I47">
        <v>88208</v>
      </c>
    </row>
    <row r="48" spans="1:9" x14ac:dyDescent="0.3">
      <c r="A48">
        <v>47</v>
      </c>
      <c r="B48" t="s">
        <v>71</v>
      </c>
      <c r="C48" t="s">
        <v>27</v>
      </c>
      <c r="D48">
        <v>3</v>
      </c>
      <c r="E48" t="s">
        <v>11</v>
      </c>
      <c r="F48">
        <v>22</v>
      </c>
      <c r="G48" t="s">
        <v>12</v>
      </c>
      <c r="H48" t="s">
        <v>13</v>
      </c>
      <c r="I48">
        <v>58828</v>
      </c>
    </row>
    <row r="49" spans="1:9" x14ac:dyDescent="0.3">
      <c r="A49">
        <v>48</v>
      </c>
      <c r="B49" t="s">
        <v>72</v>
      </c>
      <c r="C49" t="s">
        <v>15</v>
      </c>
      <c r="D49">
        <v>1</v>
      </c>
      <c r="E49" t="s">
        <v>20</v>
      </c>
      <c r="F49">
        <v>40</v>
      </c>
      <c r="G49" t="s">
        <v>24</v>
      </c>
      <c r="H49" t="s">
        <v>41</v>
      </c>
      <c r="I49">
        <v>43711</v>
      </c>
    </row>
    <row r="50" spans="1:9" x14ac:dyDescent="0.3">
      <c r="A50">
        <v>49</v>
      </c>
      <c r="B50" t="s">
        <v>73</v>
      </c>
      <c r="C50" t="s">
        <v>27</v>
      </c>
      <c r="D50">
        <v>5</v>
      </c>
      <c r="E50" t="s">
        <v>23</v>
      </c>
      <c r="F50">
        <v>23</v>
      </c>
      <c r="G50" t="s">
        <v>12</v>
      </c>
      <c r="H50" t="s">
        <v>21</v>
      </c>
      <c r="I50">
        <v>28420</v>
      </c>
    </row>
    <row r="51" spans="1:9" x14ac:dyDescent="0.3">
      <c r="A51">
        <v>50</v>
      </c>
      <c r="B51" t="s">
        <v>74</v>
      </c>
      <c r="C51" t="s">
        <v>10</v>
      </c>
      <c r="D51">
        <v>10</v>
      </c>
      <c r="E51" t="s">
        <v>20</v>
      </c>
      <c r="F51">
        <v>47</v>
      </c>
      <c r="G51" t="s">
        <v>12</v>
      </c>
      <c r="H51" t="s">
        <v>17</v>
      </c>
      <c r="I51">
        <v>121752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BDB8CA-0D89-44AE-B1E5-22BB1C4C6E43}">
  <dimension ref="A1:J51"/>
  <sheetViews>
    <sheetView topLeftCell="A27" workbookViewId="0">
      <selection sqref="A1:J51"/>
    </sheetView>
  </sheetViews>
  <sheetFormatPr defaultRowHeight="14.4" x14ac:dyDescent="0.3"/>
  <cols>
    <col min="1" max="1" width="12.88671875" customWidth="1"/>
    <col min="3" max="3" width="12.88671875" customWidth="1"/>
    <col min="4" max="4" width="17.44140625" customWidth="1"/>
    <col min="5" max="5" width="16.33203125" customWidth="1"/>
    <col min="7" max="7" width="9" customWidth="1"/>
    <col min="9" max="9" width="15.44140625" customWidth="1"/>
    <col min="10" max="10" width="13.109375" bestFit="1" customWidth="1"/>
  </cols>
  <sheetData>
    <row r="1" spans="1:10" x14ac:dyDescent="0.3">
      <c r="A1" t="s">
        <v>0</v>
      </c>
      <c r="B1" t="s">
        <v>1</v>
      </c>
      <c r="C1" t="s">
        <v>2</v>
      </c>
      <c r="D1" t="s">
        <v>3</v>
      </c>
      <c r="E1" t="s">
        <v>4</v>
      </c>
      <c r="F1" t="s">
        <v>5</v>
      </c>
      <c r="G1" t="s">
        <v>6</v>
      </c>
      <c r="H1" t="s">
        <v>7</v>
      </c>
      <c r="I1" t="s">
        <v>8</v>
      </c>
      <c r="J1" t="s">
        <v>92</v>
      </c>
    </row>
    <row r="2" spans="1:10" x14ac:dyDescent="0.3">
      <c r="A2">
        <v>1</v>
      </c>
      <c r="B2" t="s">
        <v>9</v>
      </c>
      <c r="C2" t="s">
        <v>10</v>
      </c>
      <c r="D2">
        <v>15</v>
      </c>
      <c r="E2" t="s">
        <v>11</v>
      </c>
      <c r="F2">
        <v>53</v>
      </c>
      <c r="G2" t="s">
        <v>12</v>
      </c>
      <c r="H2" t="s">
        <v>13</v>
      </c>
      <c r="I2">
        <v>111416</v>
      </c>
      <c r="J2" t="str">
        <f>IF(tblEmployee[[#This Row],[Experience_Years]]&lt;=2, "Junior", IF(tblEmployee[[#This Row],[Experience_Years]]&lt;=5, "Mid-Level", IF(tblEmployee[[#This Row],[Experience_Years]]&lt;=8, "Senior", "Expert")))</f>
        <v>Expert</v>
      </c>
    </row>
    <row r="3" spans="1:10" x14ac:dyDescent="0.3">
      <c r="A3">
        <v>2</v>
      </c>
      <c r="B3" t="s">
        <v>14</v>
      </c>
      <c r="C3" t="s">
        <v>15</v>
      </c>
      <c r="D3">
        <v>7</v>
      </c>
      <c r="E3" t="s">
        <v>16</v>
      </c>
      <c r="F3">
        <v>25</v>
      </c>
      <c r="G3" t="s">
        <v>12</v>
      </c>
      <c r="H3" t="s">
        <v>17</v>
      </c>
      <c r="I3">
        <v>95271</v>
      </c>
      <c r="J3" t="str">
        <f>IF(tblEmployee[[#This Row],[Experience_Years]]&lt;=2, "Junior", IF(tblEmployee[[#This Row],[Experience_Years]]&lt;=5, "Mid-Level", IF(tblEmployee[[#This Row],[Experience_Years]]&lt;=8, "Senior", "Expert")))</f>
        <v>Senior</v>
      </c>
    </row>
    <row r="4" spans="1:10" x14ac:dyDescent="0.3">
      <c r="A4">
        <v>3</v>
      </c>
      <c r="B4" t="s">
        <v>18</v>
      </c>
      <c r="C4" t="s">
        <v>19</v>
      </c>
      <c r="D4">
        <v>12</v>
      </c>
      <c r="E4" t="s">
        <v>20</v>
      </c>
      <c r="F4">
        <v>51</v>
      </c>
      <c r="G4" t="s">
        <v>12</v>
      </c>
      <c r="H4" t="s">
        <v>21</v>
      </c>
      <c r="I4">
        <v>69064</v>
      </c>
      <c r="J4" t="str">
        <f>IF(tblEmployee[[#This Row],[Experience_Years]]&lt;=2, "Junior", IF(tblEmployee[[#This Row],[Experience_Years]]&lt;=5, "Mid-Level", IF(tblEmployee[[#This Row],[Experience_Years]]&lt;=8, "Senior", "Expert")))</f>
        <v>Expert</v>
      </c>
    </row>
    <row r="5" spans="1:10" x14ac:dyDescent="0.3">
      <c r="A5">
        <v>4</v>
      </c>
      <c r="B5" t="s">
        <v>22</v>
      </c>
      <c r="C5" t="s">
        <v>15</v>
      </c>
      <c r="D5">
        <v>8</v>
      </c>
      <c r="E5" t="s">
        <v>23</v>
      </c>
      <c r="F5">
        <v>44</v>
      </c>
      <c r="G5" t="s">
        <v>24</v>
      </c>
      <c r="H5" t="s">
        <v>13</v>
      </c>
      <c r="I5">
        <v>95091</v>
      </c>
      <c r="J5" t="str">
        <f>IF(tblEmployee[[#This Row],[Experience_Years]]&lt;=2, "Junior", IF(tblEmployee[[#This Row],[Experience_Years]]&lt;=5, "Mid-Level", IF(tblEmployee[[#This Row],[Experience_Years]]&lt;=8, "Senior", "Expert")))</f>
        <v>Senior</v>
      </c>
    </row>
    <row r="6" spans="1:10" x14ac:dyDescent="0.3">
      <c r="A6">
        <v>5</v>
      </c>
      <c r="B6" t="s">
        <v>25</v>
      </c>
      <c r="C6" t="s">
        <v>15</v>
      </c>
      <c r="D6">
        <v>15</v>
      </c>
      <c r="E6" t="s">
        <v>11</v>
      </c>
      <c r="F6">
        <v>36</v>
      </c>
      <c r="G6" t="s">
        <v>12</v>
      </c>
      <c r="H6" t="s">
        <v>13</v>
      </c>
      <c r="I6">
        <v>132450</v>
      </c>
      <c r="J6" t="str">
        <f>IF(tblEmployee[[#This Row],[Experience_Years]]&lt;=2, "Junior", IF(tblEmployee[[#This Row],[Experience_Years]]&lt;=5, "Mid-Level", IF(tblEmployee[[#This Row],[Experience_Years]]&lt;=8, "Senior", "Expert")))</f>
        <v>Expert</v>
      </c>
    </row>
    <row r="7" spans="1:10" x14ac:dyDescent="0.3">
      <c r="A7">
        <v>6</v>
      </c>
      <c r="B7" t="s">
        <v>26</v>
      </c>
      <c r="C7" t="s">
        <v>27</v>
      </c>
      <c r="D7">
        <v>3</v>
      </c>
      <c r="E7" t="s">
        <v>20</v>
      </c>
      <c r="F7">
        <v>50</v>
      </c>
      <c r="G7" t="s">
        <v>24</v>
      </c>
      <c r="H7" t="s">
        <v>28</v>
      </c>
      <c r="I7">
        <v>65818</v>
      </c>
      <c r="J7" t="str">
        <f>IF(tblEmployee[[#This Row],[Experience_Years]]&lt;=2, "Junior", IF(tblEmployee[[#This Row],[Experience_Years]]&lt;=5, "Mid-Level", IF(tblEmployee[[#This Row],[Experience_Years]]&lt;=8, "Senior", "Expert")))</f>
        <v>Mid-Level</v>
      </c>
    </row>
    <row r="8" spans="1:10" x14ac:dyDescent="0.3">
      <c r="A8">
        <v>7</v>
      </c>
      <c r="B8" t="s">
        <v>29</v>
      </c>
      <c r="C8" t="s">
        <v>19</v>
      </c>
      <c r="D8">
        <v>14</v>
      </c>
      <c r="E8" t="s">
        <v>23</v>
      </c>
      <c r="F8">
        <v>57</v>
      </c>
      <c r="G8" t="s">
        <v>24</v>
      </c>
      <c r="H8" t="s">
        <v>28</v>
      </c>
      <c r="I8">
        <v>70525</v>
      </c>
      <c r="J8" t="str">
        <f>IF(tblEmployee[[#This Row],[Experience_Years]]&lt;=2, "Junior", IF(tblEmployee[[#This Row],[Experience_Years]]&lt;=5, "Mid-Level", IF(tblEmployee[[#This Row],[Experience_Years]]&lt;=8, "Senior", "Expert")))</f>
        <v>Expert</v>
      </c>
    </row>
    <row r="9" spans="1:10" x14ac:dyDescent="0.3">
      <c r="A9">
        <v>8</v>
      </c>
      <c r="B9" t="s">
        <v>30</v>
      </c>
      <c r="C9" t="s">
        <v>19</v>
      </c>
      <c r="D9">
        <v>17</v>
      </c>
      <c r="E9" t="s">
        <v>23</v>
      </c>
      <c r="F9">
        <v>34</v>
      </c>
      <c r="G9" t="s">
        <v>12</v>
      </c>
      <c r="H9" t="s">
        <v>17</v>
      </c>
      <c r="I9">
        <v>44830</v>
      </c>
      <c r="J9" t="str">
        <f>IF(tblEmployee[[#This Row],[Experience_Years]]&lt;=2, "Junior", IF(tblEmployee[[#This Row],[Experience_Years]]&lt;=5, "Mid-Level", IF(tblEmployee[[#This Row],[Experience_Years]]&lt;=8, "Senior", "Expert")))</f>
        <v>Expert</v>
      </c>
    </row>
    <row r="10" spans="1:10" x14ac:dyDescent="0.3">
      <c r="A10">
        <v>9</v>
      </c>
      <c r="B10" t="s">
        <v>31</v>
      </c>
      <c r="C10" t="s">
        <v>19</v>
      </c>
      <c r="D10">
        <v>4</v>
      </c>
      <c r="E10" t="s">
        <v>16</v>
      </c>
      <c r="F10">
        <v>53</v>
      </c>
      <c r="G10" t="s">
        <v>24</v>
      </c>
      <c r="H10" t="s">
        <v>21</v>
      </c>
      <c r="I10">
        <v>42429</v>
      </c>
      <c r="J10" t="str">
        <f>IF(tblEmployee[[#This Row],[Experience_Years]]&lt;=2, "Junior", IF(tblEmployee[[#This Row],[Experience_Years]]&lt;=5, "Mid-Level", IF(tblEmployee[[#This Row],[Experience_Years]]&lt;=8, "Senior", "Expert")))</f>
        <v>Mid-Level</v>
      </c>
    </row>
    <row r="11" spans="1:10" x14ac:dyDescent="0.3">
      <c r="A11">
        <v>10</v>
      </c>
      <c r="B11" t="s">
        <v>32</v>
      </c>
      <c r="C11" t="s">
        <v>15</v>
      </c>
      <c r="D11">
        <v>18</v>
      </c>
      <c r="E11" t="s">
        <v>20</v>
      </c>
      <c r="F11">
        <v>28</v>
      </c>
      <c r="G11" t="s">
        <v>24</v>
      </c>
      <c r="H11" t="s">
        <v>28</v>
      </c>
      <c r="I11">
        <v>31893</v>
      </c>
      <c r="J11" t="str">
        <f>IF(tblEmployee[[#This Row],[Experience_Years]]&lt;=2, "Junior", IF(tblEmployee[[#This Row],[Experience_Years]]&lt;=5, "Mid-Level", IF(tblEmployee[[#This Row],[Experience_Years]]&lt;=8, "Senior", "Expert")))</f>
        <v>Expert</v>
      </c>
    </row>
    <row r="12" spans="1:10" x14ac:dyDescent="0.3">
      <c r="A12">
        <v>11</v>
      </c>
      <c r="B12" t="s">
        <v>33</v>
      </c>
      <c r="C12" t="s">
        <v>10</v>
      </c>
      <c r="D12">
        <v>8</v>
      </c>
      <c r="E12" t="s">
        <v>23</v>
      </c>
      <c r="F12">
        <v>43</v>
      </c>
      <c r="G12" t="s">
        <v>24</v>
      </c>
      <c r="H12" t="s">
        <v>13</v>
      </c>
      <c r="I12">
        <v>141381</v>
      </c>
      <c r="J12" t="str">
        <f>IF(tblEmployee[[#This Row],[Experience_Years]]&lt;=2, "Junior", IF(tblEmployee[[#This Row],[Experience_Years]]&lt;=5, "Mid-Level", IF(tblEmployee[[#This Row],[Experience_Years]]&lt;=8, "Senior", "Expert")))</f>
        <v>Senior</v>
      </c>
    </row>
    <row r="13" spans="1:10" x14ac:dyDescent="0.3">
      <c r="A13">
        <v>12</v>
      </c>
      <c r="B13" t="s">
        <v>34</v>
      </c>
      <c r="C13" t="s">
        <v>19</v>
      </c>
      <c r="D13">
        <v>4</v>
      </c>
      <c r="E13" t="s">
        <v>11</v>
      </c>
      <c r="F13">
        <v>49</v>
      </c>
      <c r="G13" t="s">
        <v>12</v>
      </c>
      <c r="H13" t="s">
        <v>21</v>
      </c>
      <c r="I13">
        <v>104909</v>
      </c>
      <c r="J13" t="str">
        <f>IF(tblEmployee[[#This Row],[Experience_Years]]&lt;=2, "Junior", IF(tblEmployee[[#This Row],[Experience_Years]]&lt;=5, "Mid-Level", IF(tblEmployee[[#This Row],[Experience_Years]]&lt;=8, "Senior", "Expert")))</f>
        <v>Mid-Level</v>
      </c>
    </row>
    <row r="14" spans="1:10" x14ac:dyDescent="0.3">
      <c r="A14">
        <v>13</v>
      </c>
      <c r="B14" t="s">
        <v>35</v>
      </c>
      <c r="C14" t="s">
        <v>15</v>
      </c>
      <c r="D14">
        <v>2</v>
      </c>
      <c r="E14" t="s">
        <v>11</v>
      </c>
      <c r="F14">
        <v>23</v>
      </c>
      <c r="G14" t="s">
        <v>12</v>
      </c>
      <c r="H14" t="s">
        <v>21</v>
      </c>
      <c r="I14">
        <v>72333</v>
      </c>
      <c r="J14" t="str">
        <f>IF(tblEmployee[[#This Row],[Experience_Years]]&lt;=2, "Junior", IF(tblEmployee[[#This Row],[Experience_Years]]&lt;=5, "Mid-Level", IF(tblEmployee[[#This Row],[Experience_Years]]&lt;=8, "Senior", "Expert")))</f>
        <v>Junior</v>
      </c>
    </row>
    <row r="15" spans="1:10" x14ac:dyDescent="0.3">
      <c r="A15">
        <v>14</v>
      </c>
      <c r="B15" t="s">
        <v>36</v>
      </c>
      <c r="C15" t="s">
        <v>27</v>
      </c>
      <c r="D15">
        <v>6</v>
      </c>
      <c r="E15" t="s">
        <v>16</v>
      </c>
      <c r="F15">
        <v>27</v>
      </c>
      <c r="G15" t="s">
        <v>24</v>
      </c>
      <c r="H15" t="s">
        <v>13</v>
      </c>
      <c r="I15">
        <v>28436</v>
      </c>
      <c r="J15" t="str">
        <f>IF(tblEmployee[[#This Row],[Experience_Years]]&lt;=2, "Junior", IF(tblEmployee[[#This Row],[Experience_Years]]&lt;=5, "Mid-Level", IF(tblEmployee[[#This Row],[Experience_Years]]&lt;=8, "Senior", "Expert")))</f>
        <v>Senior</v>
      </c>
    </row>
    <row r="16" spans="1:10" x14ac:dyDescent="0.3">
      <c r="A16">
        <v>15</v>
      </c>
      <c r="B16" t="s">
        <v>37</v>
      </c>
      <c r="C16" t="s">
        <v>10</v>
      </c>
      <c r="D16">
        <v>10</v>
      </c>
      <c r="E16" t="s">
        <v>23</v>
      </c>
      <c r="F16">
        <v>49</v>
      </c>
      <c r="G16" t="s">
        <v>12</v>
      </c>
      <c r="H16" t="s">
        <v>28</v>
      </c>
      <c r="I16">
        <v>99290</v>
      </c>
      <c r="J16" t="str">
        <f>IF(tblEmployee[[#This Row],[Experience_Years]]&lt;=2, "Junior", IF(tblEmployee[[#This Row],[Experience_Years]]&lt;=5, "Mid-Level", IF(tblEmployee[[#This Row],[Experience_Years]]&lt;=8, "Senior", "Expert")))</f>
        <v>Expert</v>
      </c>
    </row>
    <row r="17" spans="1:10" x14ac:dyDescent="0.3">
      <c r="A17">
        <v>16</v>
      </c>
      <c r="B17" t="s">
        <v>38</v>
      </c>
      <c r="C17" t="s">
        <v>27</v>
      </c>
      <c r="D17">
        <v>4</v>
      </c>
      <c r="E17" t="s">
        <v>20</v>
      </c>
      <c r="F17">
        <v>49</v>
      </c>
      <c r="G17" t="s">
        <v>12</v>
      </c>
      <c r="H17" t="s">
        <v>13</v>
      </c>
      <c r="I17">
        <v>101213</v>
      </c>
      <c r="J17" t="str">
        <f>IF(tblEmployee[[#This Row],[Experience_Years]]&lt;=2, "Junior", IF(tblEmployee[[#This Row],[Experience_Years]]&lt;=5, "Mid-Level", IF(tblEmployee[[#This Row],[Experience_Years]]&lt;=8, "Senior", "Expert")))</f>
        <v>Mid-Level</v>
      </c>
    </row>
    <row r="18" spans="1:10" x14ac:dyDescent="0.3">
      <c r="A18">
        <v>17</v>
      </c>
      <c r="B18" t="s">
        <v>39</v>
      </c>
      <c r="C18" t="s">
        <v>10</v>
      </c>
      <c r="D18">
        <v>18</v>
      </c>
      <c r="E18" t="s">
        <v>11</v>
      </c>
      <c r="F18">
        <v>41</v>
      </c>
      <c r="G18" t="s">
        <v>12</v>
      </c>
      <c r="H18" t="s">
        <v>21</v>
      </c>
      <c r="I18">
        <v>30895</v>
      </c>
      <c r="J18" t="str">
        <f>IF(tblEmployee[[#This Row],[Experience_Years]]&lt;=2, "Junior", IF(tblEmployee[[#This Row],[Experience_Years]]&lt;=5, "Mid-Level", IF(tblEmployee[[#This Row],[Experience_Years]]&lt;=8, "Senior", "Expert")))</f>
        <v>Expert</v>
      </c>
    </row>
    <row r="19" spans="1:10" x14ac:dyDescent="0.3">
      <c r="A19">
        <v>18</v>
      </c>
      <c r="B19" t="s">
        <v>40</v>
      </c>
      <c r="C19" t="s">
        <v>15</v>
      </c>
      <c r="D19">
        <v>12</v>
      </c>
      <c r="E19" t="s">
        <v>23</v>
      </c>
      <c r="F19">
        <v>51</v>
      </c>
      <c r="G19" t="s">
        <v>12</v>
      </c>
      <c r="H19" t="s">
        <v>41</v>
      </c>
      <c r="I19">
        <v>44738</v>
      </c>
      <c r="J19" t="str">
        <f>IF(tblEmployee[[#This Row],[Experience_Years]]&lt;=2, "Junior", IF(tblEmployee[[#This Row],[Experience_Years]]&lt;=5, "Mid-Level", IF(tblEmployee[[#This Row],[Experience_Years]]&lt;=8, "Senior", "Expert")))</f>
        <v>Expert</v>
      </c>
    </row>
    <row r="20" spans="1:10" x14ac:dyDescent="0.3">
      <c r="A20">
        <v>19</v>
      </c>
      <c r="B20" t="s">
        <v>42</v>
      </c>
      <c r="C20" t="s">
        <v>43</v>
      </c>
      <c r="D20">
        <v>2</v>
      </c>
      <c r="E20" t="s">
        <v>23</v>
      </c>
      <c r="F20">
        <v>32</v>
      </c>
      <c r="G20" t="s">
        <v>24</v>
      </c>
      <c r="H20" t="s">
        <v>41</v>
      </c>
      <c r="I20">
        <v>55746</v>
      </c>
      <c r="J20" t="str">
        <f>IF(tblEmployee[[#This Row],[Experience_Years]]&lt;=2, "Junior", IF(tblEmployee[[#This Row],[Experience_Years]]&lt;=5, "Mid-Level", IF(tblEmployee[[#This Row],[Experience_Years]]&lt;=8, "Senior", "Expert")))</f>
        <v>Junior</v>
      </c>
    </row>
    <row r="21" spans="1:10" x14ac:dyDescent="0.3">
      <c r="A21">
        <v>20</v>
      </c>
      <c r="B21" t="s">
        <v>44</v>
      </c>
      <c r="C21" t="s">
        <v>10</v>
      </c>
      <c r="D21">
        <v>10</v>
      </c>
      <c r="E21" t="s">
        <v>16</v>
      </c>
      <c r="F21">
        <v>49</v>
      </c>
      <c r="G21" t="s">
        <v>24</v>
      </c>
      <c r="H21" t="s">
        <v>17</v>
      </c>
      <c r="I21">
        <v>74377</v>
      </c>
      <c r="J21" t="str">
        <f>IF(tblEmployee[[#This Row],[Experience_Years]]&lt;=2, "Junior", IF(tblEmployee[[#This Row],[Experience_Years]]&lt;=5, "Mid-Level", IF(tblEmployee[[#This Row],[Experience_Years]]&lt;=8, "Senior", "Expert")))</f>
        <v>Expert</v>
      </c>
    </row>
    <row r="22" spans="1:10" x14ac:dyDescent="0.3">
      <c r="A22">
        <v>21</v>
      </c>
      <c r="B22" t="s">
        <v>45</v>
      </c>
      <c r="C22" t="s">
        <v>27</v>
      </c>
      <c r="D22">
        <v>4</v>
      </c>
      <c r="E22" t="s">
        <v>11</v>
      </c>
      <c r="F22">
        <v>46</v>
      </c>
      <c r="G22" t="s">
        <v>12</v>
      </c>
      <c r="H22" t="s">
        <v>13</v>
      </c>
      <c r="I22">
        <v>73404</v>
      </c>
      <c r="J22" t="str">
        <f>IF(tblEmployee[[#This Row],[Experience_Years]]&lt;=2, "Junior", IF(tblEmployee[[#This Row],[Experience_Years]]&lt;=5, "Mid-Level", IF(tblEmployee[[#This Row],[Experience_Years]]&lt;=8, "Senior", "Expert")))</f>
        <v>Mid-Level</v>
      </c>
    </row>
    <row r="23" spans="1:10" x14ac:dyDescent="0.3">
      <c r="A23">
        <v>22</v>
      </c>
      <c r="B23" t="s">
        <v>46</v>
      </c>
      <c r="C23" t="s">
        <v>15</v>
      </c>
      <c r="D23">
        <v>14</v>
      </c>
      <c r="E23" t="s">
        <v>11</v>
      </c>
      <c r="F23">
        <v>54</v>
      </c>
      <c r="G23" t="s">
        <v>12</v>
      </c>
      <c r="H23" t="s">
        <v>13</v>
      </c>
      <c r="I23">
        <v>79045</v>
      </c>
      <c r="J23" t="str">
        <f>IF(tblEmployee[[#This Row],[Experience_Years]]&lt;=2, "Junior", IF(tblEmployee[[#This Row],[Experience_Years]]&lt;=5, "Mid-Level", IF(tblEmployee[[#This Row],[Experience_Years]]&lt;=8, "Senior", "Expert")))</f>
        <v>Expert</v>
      </c>
    </row>
    <row r="24" spans="1:10" x14ac:dyDescent="0.3">
      <c r="A24">
        <v>23</v>
      </c>
      <c r="B24" t="s">
        <v>47</v>
      </c>
      <c r="C24" t="s">
        <v>10</v>
      </c>
      <c r="D24">
        <v>16</v>
      </c>
      <c r="E24" t="s">
        <v>20</v>
      </c>
      <c r="F24">
        <v>22</v>
      </c>
      <c r="G24" t="s">
        <v>24</v>
      </c>
      <c r="H24" t="s">
        <v>17</v>
      </c>
      <c r="I24">
        <v>122888</v>
      </c>
      <c r="J24" t="str">
        <f>IF(tblEmployee[[#This Row],[Experience_Years]]&lt;=2, "Junior", IF(tblEmployee[[#This Row],[Experience_Years]]&lt;=5, "Mid-Level", IF(tblEmployee[[#This Row],[Experience_Years]]&lt;=8, "Senior", "Expert")))</f>
        <v>Expert</v>
      </c>
    </row>
    <row r="25" spans="1:10" x14ac:dyDescent="0.3">
      <c r="A25">
        <v>24</v>
      </c>
      <c r="B25" t="s">
        <v>48</v>
      </c>
      <c r="C25" t="s">
        <v>43</v>
      </c>
      <c r="D25">
        <v>15</v>
      </c>
      <c r="E25" t="s">
        <v>11</v>
      </c>
      <c r="F25">
        <v>48</v>
      </c>
      <c r="G25" t="s">
        <v>24</v>
      </c>
      <c r="H25" t="s">
        <v>17</v>
      </c>
      <c r="I25">
        <v>64790</v>
      </c>
      <c r="J25" t="str">
        <f>IF(tblEmployee[[#This Row],[Experience_Years]]&lt;=2, "Junior", IF(tblEmployee[[#This Row],[Experience_Years]]&lt;=5, "Mid-Level", IF(tblEmployee[[#This Row],[Experience_Years]]&lt;=8, "Senior", "Expert")))</f>
        <v>Expert</v>
      </c>
    </row>
    <row r="26" spans="1:10" x14ac:dyDescent="0.3">
      <c r="A26">
        <v>25</v>
      </c>
      <c r="B26" t="s">
        <v>49</v>
      </c>
      <c r="C26" t="s">
        <v>43</v>
      </c>
      <c r="D26">
        <v>8</v>
      </c>
      <c r="E26" t="s">
        <v>20</v>
      </c>
      <c r="F26">
        <v>34</v>
      </c>
      <c r="G26" t="s">
        <v>12</v>
      </c>
      <c r="H26" t="s">
        <v>17</v>
      </c>
      <c r="I26">
        <v>132455</v>
      </c>
      <c r="J26" t="str">
        <f>IF(tblEmployee[[#This Row],[Experience_Years]]&lt;=2, "Junior", IF(tblEmployee[[#This Row],[Experience_Years]]&lt;=5, "Mid-Level", IF(tblEmployee[[#This Row],[Experience_Years]]&lt;=8, "Senior", "Expert")))</f>
        <v>Senior</v>
      </c>
    </row>
    <row r="27" spans="1:10" x14ac:dyDescent="0.3">
      <c r="A27">
        <v>26</v>
      </c>
      <c r="B27" t="s">
        <v>50</v>
      </c>
      <c r="C27" t="s">
        <v>19</v>
      </c>
      <c r="D27">
        <v>14</v>
      </c>
      <c r="E27" t="s">
        <v>11</v>
      </c>
      <c r="F27">
        <v>24</v>
      </c>
      <c r="G27" t="s">
        <v>24</v>
      </c>
      <c r="H27" t="s">
        <v>21</v>
      </c>
      <c r="I27">
        <v>30600</v>
      </c>
      <c r="J27" t="str">
        <f>IF(tblEmployee[[#This Row],[Experience_Years]]&lt;=2, "Junior", IF(tblEmployee[[#This Row],[Experience_Years]]&lt;=5, "Mid-Level", IF(tblEmployee[[#This Row],[Experience_Years]]&lt;=8, "Senior", "Expert")))</f>
        <v>Expert</v>
      </c>
    </row>
    <row r="28" spans="1:10" x14ac:dyDescent="0.3">
      <c r="A28">
        <v>27</v>
      </c>
      <c r="B28" t="s">
        <v>51</v>
      </c>
      <c r="C28" t="s">
        <v>19</v>
      </c>
      <c r="D28">
        <v>8</v>
      </c>
      <c r="E28" t="s">
        <v>16</v>
      </c>
      <c r="F28">
        <v>27</v>
      </c>
      <c r="G28" t="s">
        <v>12</v>
      </c>
      <c r="H28" t="s">
        <v>13</v>
      </c>
      <c r="I28">
        <v>119660</v>
      </c>
      <c r="J28" t="str">
        <f>IF(tblEmployee[[#This Row],[Experience_Years]]&lt;=2, "Junior", IF(tblEmployee[[#This Row],[Experience_Years]]&lt;=5, "Mid-Level", IF(tblEmployee[[#This Row],[Experience_Years]]&lt;=8, "Senior", "Expert")))</f>
        <v>Senior</v>
      </c>
    </row>
    <row r="29" spans="1:10" x14ac:dyDescent="0.3">
      <c r="A29">
        <v>28</v>
      </c>
      <c r="B29" t="s">
        <v>52</v>
      </c>
      <c r="C29" t="s">
        <v>27</v>
      </c>
      <c r="D29">
        <v>16</v>
      </c>
      <c r="E29" t="s">
        <v>11</v>
      </c>
      <c r="F29">
        <v>29</v>
      </c>
      <c r="G29" t="s">
        <v>12</v>
      </c>
      <c r="H29" t="s">
        <v>21</v>
      </c>
      <c r="I29">
        <v>118179</v>
      </c>
      <c r="J29" t="str">
        <f>IF(tblEmployee[[#This Row],[Experience_Years]]&lt;=2, "Junior", IF(tblEmployee[[#This Row],[Experience_Years]]&lt;=5, "Mid-Level", IF(tblEmployee[[#This Row],[Experience_Years]]&lt;=8, "Senior", "Expert")))</f>
        <v>Expert</v>
      </c>
    </row>
    <row r="30" spans="1:10" x14ac:dyDescent="0.3">
      <c r="A30">
        <v>29</v>
      </c>
      <c r="B30" t="s">
        <v>53</v>
      </c>
      <c r="C30" t="s">
        <v>10</v>
      </c>
      <c r="D30">
        <v>13</v>
      </c>
      <c r="E30" t="s">
        <v>20</v>
      </c>
      <c r="F30">
        <v>48</v>
      </c>
      <c r="G30" t="s">
        <v>24</v>
      </c>
      <c r="H30" t="s">
        <v>17</v>
      </c>
      <c r="I30">
        <v>65764</v>
      </c>
      <c r="J30" t="str">
        <f>IF(tblEmployee[[#This Row],[Experience_Years]]&lt;=2, "Junior", IF(tblEmployee[[#This Row],[Experience_Years]]&lt;=5, "Mid-Level", IF(tblEmployee[[#This Row],[Experience_Years]]&lt;=8, "Senior", "Expert")))</f>
        <v>Expert</v>
      </c>
    </row>
    <row r="31" spans="1:10" x14ac:dyDescent="0.3">
      <c r="A31">
        <v>30</v>
      </c>
      <c r="B31" t="s">
        <v>54</v>
      </c>
      <c r="C31" t="s">
        <v>10</v>
      </c>
      <c r="D31">
        <v>18</v>
      </c>
      <c r="E31" t="s">
        <v>20</v>
      </c>
      <c r="F31">
        <v>30</v>
      </c>
      <c r="G31" t="s">
        <v>24</v>
      </c>
      <c r="H31" t="s">
        <v>13</v>
      </c>
      <c r="I31">
        <v>99543</v>
      </c>
      <c r="J31" t="str">
        <f>IF(tblEmployee[[#This Row],[Experience_Years]]&lt;=2, "Junior", IF(tblEmployee[[#This Row],[Experience_Years]]&lt;=5, "Mid-Level", IF(tblEmployee[[#This Row],[Experience_Years]]&lt;=8, "Senior", "Expert")))</f>
        <v>Expert</v>
      </c>
    </row>
    <row r="32" spans="1:10" x14ac:dyDescent="0.3">
      <c r="A32">
        <v>31</v>
      </c>
      <c r="B32" t="s">
        <v>55</v>
      </c>
      <c r="C32" t="s">
        <v>19</v>
      </c>
      <c r="D32">
        <v>15</v>
      </c>
      <c r="E32" t="s">
        <v>16</v>
      </c>
      <c r="F32">
        <v>54</v>
      </c>
      <c r="G32" t="s">
        <v>12</v>
      </c>
      <c r="H32" t="s">
        <v>21</v>
      </c>
      <c r="I32">
        <v>70714</v>
      </c>
      <c r="J32" t="str">
        <f>IF(tblEmployee[[#This Row],[Experience_Years]]&lt;=2, "Junior", IF(tblEmployee[[#This Row],[Experience_Years]]&lt;=5, "Mid-Level", IF(tblEmployee[[#This Row],[Experience_Years]]&lt;=8, "Senior", "Expert")))</f>
        <v>Expert</v>
      </c>
    </row>
    <row r="33" spans="1:10" x14ac:dyDescent="0.3">
      <c r="A33">
        <v>32</v>
      </c>
      <c r="B33" t="s">
        <v>56</v>
      </c>
      <c r="C33" t="s">
        <v>10</v>
      </c>
      <c r="D33">
        <v>13</v>
      </c>
      <c r="E33" t="s">
        <v>11</v>
      </c>
      <c r="F33">
        <v>45</v>
      </c>
      <c r="G33" t="s">
        <v>12</v>
      </c>
      <c r="H33" t="s">
        <v>21</v>
      </c>
      <c r="I33">
        <v>81835</v>
      </c>
      <c r="J33" t="str">
        <f>IF(tblEmployee[[#This Row],[Experience_Years]]&lt;=2, "Junior", IF(tblEmployee[[#This Row],[Experience_Years]]&lt;=5, "Mid-Level", IF(tblEmployee[[#This Row],[Experience_Years]]&lt;=8, "Senior", "Expert")))</f>
        <v>Expert</v>
      </c>
    </row>
    <row r="34" spans="1:10" x14ac:dyDescent="0.3">
      <c r="A34">
        <v>33</v>
      </c>
      <c r="B34" t="s">
        <v>57</v>
      </c>
      <c r="C34" t="s">
        <v>10</v>
      </c>
      <c r="D34">
        <v>9</v>
      </c>
      <c r="E34" t="s">
        <v>11</v>
      </c>
      <c r="F34">
        <v>36</v>
      </c>
      <c r="G34" t="s">
        <v>24</v>
      </c>
      <c r="H34" t="s">
        <v>17</v>
      </c>
      <c r="I34">
        <v>127946</v>
      </c>
      <c r="J34" t="str">
        <f>IF(tblEmployee[[#This Row],[Experience_Years]]&lt;=2, "Junior", IF(tblEmployee[[#This Row],[Experience_Years]]&lt;=5, "Mid-Level", IF(tblEmployee[[#This Row],[Experience_Years]]&lt;=8, "Senior", "Expert")))</f>
        <v>Expert</v>
      </c>
    </row>
    <row r="35" spans="1:10" x14ac:dyDescent="0.3">
      <c r="A35">
        <v>34</v>
      </c>
      <c r="B35" t="s">
        <v>58</v>
      </c>
      <c r="C35" t="s">
        <v>43</v>
      </c>
      <c r="D35">
        <v>15</v>
      </c>
      <c r="E35" t="s">
        <v>16</v>
      </c>
      <c r="F35">
        <v>53</v>
      </c>
      <c r="G35" t="s">
        <v>12</v>
      </c>
      <c r="H35" t="s">
        <v>13</v>
      </c>
      <c r="I35">
        <v>134616</v>
      </c>
      <c r="J35" t="str">
        <f>IF(tblEmployee[[#This Row],[Experience_Years]]&lt;=2, "Junior", IF(tblEmployee[[#This Row],[Experience_Years]]&lt;=5, "Mid-Level", IF(tblEmployee[[#This Row],[Experience_Years]]&lt;=8, "Senior", "Expert")))</f>
        <v>Expert</v>
      </c>
    </row>
    <row r="36" spans="1:10" x14ac:dyDescent="0.3">
      <c r="A36">
        <v>35</v>
      </c>
      <c r="B36" t="s">
        <v>59</v>
      </c>
      <c r="C36" t="s">
        <v>19</v>
      </c>
      <c r="D36">
        <v>13</v>
      </c>
      <c r="E36" t="s">
        <v>11</v>
      </c>
      <c r="F36">
        <v>53</v>
      </c>
      <c r="G36" t="s">
        <v>24</v>
      </c>
      <c r="H36" t="s">
        <v>17</v>
      </c>
      <c r="I36">
        <v>130983</v>
      </c>
      <c r="J36" t="str">
        <f>IF(tblEmployee[[#This Row],[Experience_Years]]&lt;=2, "Junior", IF(tblEmployee[[#This Row],[Experience_Years]]&lt;=5, "Mid-Level", IF(tblEmployee[[#This Row],[Experience_Years]]&lt;=8, "Senior", "Expert")))</f>
        <v>Expert</v>
      </c>
    </row>
    <row r="37" spans="1:10" x14ac:dyDescent="0.3">
      <c r="A37">
        <v>36</v>
      </c>
      <c r="B37" t="s">
        <v>60</v>
      </c>
      <c r="C37" t="s">
        <v>15</v>
      </c>
      <c r="D37">
        <v>1</v>
      </c>
      <c r="E37" t="s">
        <v>11</v>
      </c>
      <c r="F37">
        <v>45</v>
      </c>
      <c r="G37" t="s">
        <v>12</v>
      </c>
      <c r="H37" t="s">
        <v>13</v>
      </c>
      <c r="I37">
        <v>98744</v>
      </c>
      <c r="J37" t="str">
        <f>IF(tblEmployee[[#This Row],[Experience_Years]]&lt;=2, "Junior", IF(tblEmployee[[#This Row],[Experience_Years]]&lt;=5, "Mid-Level", IF(tblEmployee[[#This Row],[Experience_Years]]&lt;=8, "Senior", "Expert")))</f>
        <v>Junior</v>
      </c>
    </row>
    <row r="38" spans="1:10" x14ac:dyDescent="0.3">
      <c r="A38">
        <v>37</v>
      </c>
      <c r="B38" t="s">
        <v>61</v>
      </c>
      <c r="C38" t="s">
        <v>19</v>
      </c>
      <c r="D38">
        <v>7</v>
      </c>
      <c r="E38" t="s">
        <v>20</v>
      </c>
      <c r="F38">
        <v>33</v>
      </c>
      <c r="G38" t="s">
        <v>24</v>
      </c>
      <c r="H38" t="s">
        <v>41</v>
      </c>
      <c r="I38">
        <v>81491</v>
      </c>
      <c r="J38" t="str">
        <f>IF(tblEmployee[[#This Row],[Experience_Years]]&lt;=2, "Junior", IF(tblEmployee[[#This Row],[Experience_Years]]&lt;=5, "Mid-Level", IF(tblEmployee[[#This Row],[Experience_Years]]&lt;=8, "Senior", "Expert")))</f>
        <v>Senior</v>
      </c>
    </row>
    <row r="39" spans="1:10" x14ac:dyDescent="0.3">
      <c r="A39">
        <v>38</v>
      </c>
      <c r="B39" t="s">
        <v>62</v>
      </c>
      <c r="C39" t="s">
        <v>15</v>
      </c>
      <c r="D39">
        <v>9</v>
      </c>
      <c r="E39" t="s">
        <v>11</v>
      </c>
      <c r="F39">
        <v>23</v>
      </c>
      <c r="G39" t="s">
        <v>24</v>
      </c>
      <c r="H39" t="s">
        <v>28</v>
      </c>
      <c r="I39">
        <v>149123</v>
      </c>
      <c r="J39" t="str">
        <f>IF(tblEmployee[[#This Row],[Experience_Years]]&lt;=2, "Junior", IF(tblEmployee[[#This Row],[Experience_Years]]&lt;=5, "Mid-Level", IF(tblEmployee[[#This Row],[Experience_Years]]&lt;=8, "Senior", "Expert")))</f>
        <v>Expert</v>
      </c>
    </row>
    <row r="40" spans="1:10" x14ac:dyDescent="0.3">
      <c r="A40">
        <v>39</v>
      </c>
      <c r="B40" t="s">
        <v>63</v>
      </c>
      <c r="C40" t="s">
        <v>43</v>
      </c>
      <c r="D40">
        <v>1</v>
      </c>
      <c r="E40" t="s">
        <v>11</v>
      </c>
      <c r="F40">
        <v>24</v>
      </c>
      <c r="G40" t="s">
        <v>24</v>
      </c>
      <c r="H40" t="s">
        <v>28</v>
      </c>
      <c r="I40">
        <v>43589</v>
      </c>
      <c r="J40" t="str">
        <f>IF(tblEmployee[[#This Row],[Experience_Years]]&lt;=2, "Junior", IF(tblEmployee[[#This Row],[Experience_Years]]&lt;=5, "Mid-Level", IF(tblEmployee[[#This Row],[Experience_Years]]&lt;=8, "Senior", "Expert")))</f>
        <v>Junior</v>
      </c>
    </row>
    <row r="41" spans="1:10" x14ac:dyDescent="0.3">
      <c r="A41">
        <v>40</v>
      </c>
      <c r="B41" t="s">
        <v>64</v>
      </c>
      <c r="C41" t="s">
        <v>27</v>
      </c>
      <c r="D41">
        <v>12</v>
      </c>
      <c r="E41" t="s">
        <v>16</v>
      </c>
      <c r="F41">
        <v>38</v>
      </c>
      <c r="G41" t="s">
        <v>12</v>
      </c>
      <c r="H41" t="s">
        <v>28</v>
      </c>
      <c r="I41">
        <v>68484</v>
      </c>
      <c r="J41" t="str">
        <f>IF(tblEmployee[[#This Row],[Experience_Years]]&lt;=2, "Junior", IF(tblEmployee[[#This Row],[Experience_Years]]&lt;=5, "Mid-Level", IF(tblEmployee[[#This Row],[Experience_Years]]&lt;=8, "Senior", "Expert")))</f>
        <v>Expert</v>
      </c>
    </row>
    <row r="42" spans="1:10" x14ac:dyDescent="0.3">
      <c r="A42">
        <v>41</v>
      </c>
      <c r="B42" t="s">
        <v>65</v>
      </c>
      <c r="C42" t="s">
        <v>10</v>
      </c>
      <c r="D42">
        <v>8</v>
      </c>
      <c r="E42" t="s">
        <v>16</v>
      </c>
      <c r="F42">
        <v>23</v>
      </c>
      <c r="G42" t="s">
        <v>12</v>
      </c>
      <c r="H42" t="s">
        <v>17</v>
      </c>
      <c r="I42">
        <v>107989</v>
      </c>
      <c r="J42" t="str">
        <f>IF(tblEmployee[[#This Row],[Experience_Years]]&lt;=2, "Junior", IF(tblEmployee[[#This Row],[Experience_Years]]&lt;=5, "Mid-Level", IF(tblEmployee[[#This Row],[Experience_Years]]&lt;=8, "Senior", "Expert")))</f>
        <v>Senior</v>
      </c>
    </row>
    <row r="43" spans="1:10" x14ac:dyDescent="0.3">
      <c r="A43">
        <v>42</v>
      </c>
      <c r="B43" t="s">
        <v>66</v>
      </c>
      <c r="C43" t="s">
        <v>43</v>
      </c>
      <c r="D43">
        <v>11</v>
      </c>
      <c r="E43" t="s">
        <v>23</v>
      </c>
      <c r="F43">
        <v>23</v>
      </c>
      <c r="G43" t="s">
        <v>24</v>
      </c>
      <c r="H43" t="s">
        <v>41</v>
      </c>
      <c r="I43">
        <v>61212</v>
      </c>
      <c r="J43" t="str">
        <f>IF(tblEmployee[[#This Row],[Experience_Years]]&lt;=2, "Junior", IF(tblEmployee[[#This Row],[Experience_Years]]&lt;=5, "Mid-Level", IF(tblEmployee[[#This Row],[Experience_Years]]&lt;=8, "Senior", "Expert")))</f>
        <v>Expert</v>
      </c>
    </row>
    <row r="44" spans="1:10" x14ac:dyDescent="0.3">
      <c r="A44">
        <v>43</v>
      </c>
      <c r="B44" t="s">
        <v>67</v>
      </c>
      <c r="C44" t="s">
        <v>10</v>
      </c>
      <c r="D44">
        <v>19</v>
      </c>
      <c r="E44" t="s">
        <v>20</v>
      </c>
      <c r="F44">
        <v>49</v>
      </c>
      <c r="G44" t="s">
        <v>12</v>
      </c>
      <c r="H44" t="s">
        <v>13</v>
      </c>
      <c r="I44">
        <v>68525</v>
      </c>
      <c r="J44" t="str">
        <f>IF(tblEmployee[[#This Row],[Experience_Years]]&lt;=2, "Junior", IF(tblEmployee[[#This Row],[Experience_Years]]&lt;=5, "Mid-Level", IF(tblEmployee[[#This Row],[Experience_Years]]&lt;=8, "Senior", "Expert")))</f>
        <v>Expert</v>
      </c>
    </row>
    <row r="45" spans="1:10" x14ac:dyDescent="0.3">
      <c r="A45">
        <v>44</v>
      </c>
      <c r="B45" t="s">
        <v>68</v>
      </c>
      <c r="C45" t="s">
        <v>27</v>
      </c>
      <c r="D45">
        <v>17</v>
      </c>
      <c r="E45" t="s">
        <v>11</v>
      </c>
      <c r="F45">
        <v>44</v>
      </c>
      <c r="G45" t="s">
        <v>24</v>
      </c>
      <c r="H45" t="s">
        <v>21</v>
      </c>
      <c r="I45">
        <v>72202</v>
      </c>
      <c r="J45" t="str">
        <f>IF(tblEmployee[[#This Row],[Experience_Years]]&lt;=2, "Junior", IF(tblEmployee[[#This Row],[Experience_Years]]&lt;=5, "Mid-Level", IF(tblEmployee[[#This Row],[Experience_Years]]&lt;=8, "Senior", "Expert")))</f>
        <v>Expert</v>
      </c>
    </row>
    <row r="46" spans="1:10" x14ac:dyDescent="0.3">
      <c r="A46">
        <v>45</v>
      </c>
      <c r="B46" t="s">
        <v>69</v>
      </c>
      <c r="C46" t="s">
        <v>27</v>
      </c>
      <c r="D46">
        <v>8</v>
      </c>
      <c r="E46" t="s">
        <v>11</v>
      </c>
      <c r="F46">
        <v>53</v>
      </c>
      <c r="G46" t="s">
        <v>24</v>
      </c>
      <c r="H46" t="s">
        <v>13</v>
      </c>
      <c r="I46">
        <v>57635</v>
      </c>
      <c r="J46" t="str">
        <f>IF(tblEmployee[[#This Row],[Experience_Years]]&lt;=2, "Junior", IF(tblEmployee[[#This Row],[Experience_Years]]&lt;=5, "Mid-Level", IF(tblEmployee[[#This Row],[Experience_Years]]&lt;=8, "Senior", "Expert")))</f>
        <v>Senior</v>
      </c>
    </row>
    <row r="47" spans="1:10" x14ac:dyDescent="0.3">
      <c r="A47">
        <v>46</v>
      </c>
      <c r="B47" t="s">
        <v>70</v>
      </c>
      <c r="C47" t="s">
        <v>43</v>
      </c>
      <c r="D47">
        <v>3</v>
      </c>
      <c r="E47" t="s">
        <v>23</v>
      </c>
      <c r="F47">
        <v>54</v>
      </c>
      <c r="G47" t="s">
        <v>12</v>
      </c>
      <c r="H47" t="s">
        <v>21</v>
      </c>
      <c r="I47">
        <v>88208</v>
      </c>
      <c r="J47" t="str">
        <f>IF(tblEmployee[[#This Row],[Experience_Years]]&lt;=2, "Junior", IF(tblEmployee[[#This Row],[Experience_Years]]&lt;=5, "Mid-Level", IF(tblEmployee[[#This Row],[Experience_Years]]&lt;=8, "Senior", "Expert")))</f>
        <v>Mid-Level</v>
      </c>
    </row>
    <row r="48" spans="1:10" x14ac:dyDescent="0.3">
      <c r="A48">
        <v>47</v>
      </c>
      <c r="B48" t="s">
        <v>71</v>
      </c>
      <c r="C48" t="s">
        <v>27</v>
      </c>
      <c r="D48">
        <v>3</v>
      </c>
      <c r="E48" t="s">
        <v>11</v>
      </c>
      <c r="F48">
        <v>22</v>
      </c>
      <c r="G48" t="s">
        <v>12</v>
      </c>
      <c r="H48" t="s">
        <v>13</v>
      </c>
      <c r="I48">
        <v>58828</v>
      </c>
      <c r="J48" t="str">
        <f>IF(tblEmployee[[#This Row],[Experience_Years]]&lt;=2, "Junior", IF(tblEmployee[[#This Row],[Experience_Years]]&lt;=5, "Mid-Level", IF(tblEmployee[[#This Row],[Experience_Years]]&lt;=8, "Senior", "Expert")))</f>
        <v>Mid-Level</v>
      </c>
    </row>
    <row r="49" spans="1:10" x14ac:dyDescent="0.3">
      <c r="A49">
        <v>48</v>
      </c>
      <c r="B49" t="s">
        <v>72</v>
      </c>
      <c r="C49" t="s">
        <v>15</v>
      </c>
      <c r="D49">
        <v>1</v>
      </c>
      <c r="E49" t="s">
        <v>20</v>
      </c>
      <c r="F49">
        <v>40</v>
      </c>
      <c r="G49" t="s">
        <v>24</v>
      </c>
      <c r="H49" t="s">
        <v>41</v>
      </c>
      <c r="I49">
        <v>43711</v>
      </c>
      <c r="J49" t="str">
        <f>IF(tblEmployee[[#This Row],[Experience_Years]]&lt;=2, "Junior", IF(tblEmployee[[#This Row],[Experience_Years]]&lt;=5, "Mid-Level", IF(tblEmployee[[#This Row],[Experience_Years]]&lt;=8, "Senior", "Expert")))</f>
        <v>Junior</v>
      </c>
    </row>
    <row r="50" spans="1:10" x14ac:dyDescent="0.3">
      <c r="A50">
        <v>49</v>
      </c>
      <c r="B50" t="s">
        <v>73</v>
      </c>
      <c r="C50" t="s">
        <v>27</v>
      </c>
      <c r="D50">
        <v>5</v>
      </c>
      <c r="E50" t="s">
        <v>23</v>
      </c>
      <c r="F50">
        <v>23</v>
      </c>
      <c r="G50" t="s">
        <v>12</v>
      </c>
      <c r="H50" t="s">
        <v>21</v>
      </c>
      <c r="I50">
        <v>28420</v>
      </c>
      <c r="J50" t="str">
        <f>IF(tblEmployee[[#This Row],[Experience_Years]]&lt;=2, "Junior", IF(tblEmployee[[#This Row],[Experience_Years]]&lt;=5, "Mid-Level", IF(tblEmployee[[#This Row],[Experience_Years]]&lt;=8, "Senior", "Expert")))</f>
        <v>Mid-Level</v>
      </c>
    </row>
    <row r="51" spans="1:10" x14ac:dyDescent="0.3">
      <c r="A51">
        <v>50</v>
      </c>
      <c r="B51" t="s">
        <v>74</v>
      </c>
      <c r="C51" t="s">
        <v>10</v>
      </c>
      <c r="D51">
        <v>10</v>
      </c>
      <c r="E51" t="s">
        <v>20</v>
      </c>
      <c r="F51">
        <v>47</v>
      </c>
      <c r="G51" t="s">
        <v>12</v>
      </c>
      <c r="H51" t="s">
        <v>17</v>
      </c>
      <c r="I51">
        <v>121752</v>
      </c>
      <c r="J51" t="str">
        <f>IF(tblEmployee[[#This Row],[Experience_Years]]&lt;=2, "Junior", IF(tblEmployee[[#This Row],[Experience_Years]]&lt;=5, "Mid-Level", IF(tblEmployee[[#This Row],[Experience_Years]]&lt;=8, "Senior", "Expert")))</f>
        <v>Expert</v>
      </c>
    </row>
  </sheetData>
  <conditionalFormatting sqref="K8">
    <cfRule type="duplicateValues" dxfId="0" priority="1"/>
  </conditionalFormatting>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C41811-52C8-40A8-A4A8-9F049865F06A}">
  <dimension ref="A3:K10"/>
  <sheetViews>
    <sheetView workbookViewId="0">
      <selection activeCell="J3" sqref="J3:K5"/>
    </sheetView>
  </sheetViews>
  <sheetFormatPr defaultRowHeight="14.4" x14ac:dyDescent="0.3"/>
  <cols>
    <col min="1" max="1" width="12.44140625" bestFit="1" customWidth="1"/>
    <col min="2" max="2" width="15.5546875" bestFit="1" customWidth="1"/>
    <col min="3" max="3" width="3.44140625" bestFit="1" customWidth="1"/>
    <col min="4" max="4" width="2.44140625" bestFit="1" customWidth="1"/>
    <col min="5" max="5" width="9.21875" bestFit="1" customWidth="1"/>
    <col min="6" max="6" width="10.21875" bestFit="1" customWidth="1"/>
    <col min="7" max="7" width="10.5546875" bestFit="1" customWidth="1"/>
    <col min="8" max="8" width="12.21875" bestFit="1" customWidth="1"/>
  </cols>
  <sheetData>
    <row r="3" spans="1:11" x14ac:dyDescent="0.3">
      <c r="B3" s="1" t="s">
        <v>80</v>
      </c>
      <c r="J3" t="s">
        <v>81</v>
      </c>
      <c r="K3">
        <f>MAX(tblEmployee[Monthly_Salary])</f>
        <v>149123</v>
      </c>
    </row>
    <row r="4" spans="1:11" x14ac:dyDescent="0.3">
      <c r="A4" s="1" t="s">
        <v>75</v>
      </c>
      <c r="B4" t="s">
        <v>27</v>
      </c>
      <c r="C4" t="s">
        <v>43</v>
      </c>
      <c r="D4" t="s">
        <v>19</v>
      </c>
      <c r="E4" t="s">
        <v>10</v>
      </c>
      <c r="F4" t="s">
        <v>15</v>
      </c>
      <c r="G4" t="s">
        <v>76</v>
      </c>
      <c r="J4" t="s">
        <v>82</v>
      </c>
      <c r="K4">
        <f>MIN(tblEmployee[Monthly_Salary])</f>
        <v>28420</v>
      </c>
    </row>
    <row r="5" spans="1:11" x14ac:dyDescent="0.3">
      <c r="A5" s="2" t="s">
        <v>17</v>
      </c>
      <c r="J5" t="s">
        <v>83</v>
      </c>
      <c r="K5">
        <f>AVERAGE(tblEmployee[Monthly_Salary])</f>
        <v>82288.800000000003</v>
      </c>
    </row>
    <row r="6" spans="1:11" x14ac:dyDescent="0.3">
      <c r="A6" s="2" t="s">
        <v>41</v>
      </c>
    </row>
    <row r="7" spans="1:11" x14ac:dyDescent="0.3">
      <c r="A7" s="2" t="s">
        <v>13</v>
      </c>
    </row>
    <row r="8" spans="1:11" x14ac:dyDescent="0.3">
      <c r="A8" s="2" t="s">
        <v>21</v>
      </c>
    </row>
    <row r="9" spans="1:11" x14ac:dyDescent="0.3">
      <c r="A9" s="2" t="s">
        <v>28</v>
      </c>
    </row>
    <row r="10" spans="1:11" x14ac:dyDescent="0.3">
      <c r="A10" s="2" t="s">
        <v>76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07EB6B-A8B4-40BF-A4AE-0D51BD24BB08}">
  <dimension ref="B3:C9"/>
  <sheetViews>
    <sheetView workbookViewId="0">
      <selection activeCell="E3" sqref="E3"/>
    </sheetView>
  </sheetViews>
  <sheetFormatPr defaultRowHeight="14.4" x14ac:dyDescent="0.3"/>
  <cols>
    <col min="2" max="2" width="21.33203125" customWidth="1"/>
    <col min="3" max="3" width="26.5546875" customWidth="1"/>
  </cols>
  <sheetData>
    <row r="3" spans="2:3" x14ac:dyDescent="0.3">
      <c r="B3" s="5" t="s">
        <v>84</v>
      </c>
      <c r="C3" s="5" t="s">
        <v>85</v>
      </c>
    </row>
    <row r="4" spans="2:3" x14ac:dyDescent="0.3">
      <c r="B4" s="6" t="s">
        <v>0</v>
      </c>
      <c r="C4" s="6" t="s">
        <v>86</v>
      </c>
    </row>
    <row r="5" spans="2:3" x14ac:dyDescent="0.3">
      <c r="B5" s="6" t="s">
        <v>2</v>
      </c>
      <c r="C5" s="6" t="s">
        <v>87</v>
      </c>
    </row>
    <row r="6" spans="2:3" x14ac:dyDescent="0.3">
      <c r="B6" s="6" t="s">
        <v>3</v>
      </c>
      <c r="C6" s="6" t="s">
        <v>88</v>
      </c>
    </row>
    <row r="7" spans="2:3" x14ac:dyDescent="0.3">
      <c r="B7" s="6" t="s">
        <v>4</v>
      </c>
      <c r="C7" s="6" t="s">
        <v>89</v>
      </c>
    </row>
    <row r="8" spans="2:3" x14ac:dyDescent="0.3">
      <c r="B8" s="6" t="s">
        <v>7</v>
      </c>
      <c r="C8" s="6" t="s">
        <v>90</v>
      </c>
    </row>
    <row r="9" spans="2:3" x14ac:dyDescent="0.3">
      <c r="B9" s="6" t="s">
        <v>8</v>
      </c>
      <c r="C9" s="6" t="s">
        <v>91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732DAA-3DDB-49F4-BE0A-1D2F1BBB0E55}">
  <dimension ref="B5:J21"/>
  <sheetViews>
    <sheetView topLeftCell="A4" workbookViewId="0">
      <selection activeCell="B6" sqref="B6"/>
    </sheetView>
  </sheetViews>
  <sheetFormatPr defaultRowHeight="14.4" x14ac:dyDescent="0.3"/>
  <cols>
    <col min="1" max="2" width="12.44140625" bestFit="1" customWidth="1"/>
    <col min="3" max="3" width="22.6640625" bestFit="1" customWidth="1"/>
    <col min="4" max="4" width="18.33203125" bestFit="1" customWidth="1"/>
    <col min="6" max="6" width="12.44140625" bestFit="1" customWidth="1"/>
    <col min="7" max="7" width="22.6640625" bestFit="1" customWidth="1"/>
    <col min="9" max="9" width="12.44140625" bestFit="1" customWidth="1"/>
    <col min="10" max="10" width="22.6640625" bestFit="1" customWidth="1"/>
  </cols>
  <sheetData>
    <row r="5" spans="2:10" x14ac:dyDescent="0.3">
      <c r="B5" t="s">
        <v>97</v>
      </c>
      <c r="F5" t="s">
        <v>99</v>
      </c>
      <c r="I5" t="s">
        <v>101</v>
      </c>
    </row>
    <row r="6" spans="2:10" x14ac:dyDescent="0.3">
      <c r="B6" s="1" t="s">
        <v>75</v>
      </c>
      <c r="C6" t="s">
        <v>78</v>
      </c>
      <c r="D6" t="s">
        <v>79</v>
      </c>
      <c r="F6" s="1" t="s">
        <v>75</v>
      </c>
      <c r="G6" t="s">
        <v>78</v>
      </c>
      <c r="I6" s="1" t="s">
        <v>75</v>
      </c>
      <c r="J6" t="s">
        <v>78</v>
      </c>
    </row>
    <row r="7" spans="2:10" x14ac:dyDescent="0.3">
      <c r="B7" s="2" t="s">
        <v>27</v>
      </c>
      <c r="C7" s="9">
        <v>67261.899999999994</v>
      </c>
      <c r="D7" s="9">
        <v>10</v>
      </c>
      <c r="F7" s="2" t="s">
        <v>17</v>
      </c>
      <c r="G7">
        <v>99004.090909090912</v>
      </c>
      <c r="I7" s="2" t="s">
        <v>16</v>
      </c>
      <c r="J7">
        <v>82441.777777777781</v>
      </c>
    </row>
    <row r="8" spans="2:10" x14ac:dyDescent="0.3">
      <c r="B8" s="2" t="s">
        <v>43</v>
      </c>
      <c r="C8" s="9">
        <v>82945.142857142855</v>
      </c>
      <c r="D8" s="9">
        <v>7</v>
      </c>
      <c r="F8" s="2" t="s">
        <v>41</v>
      </c>
      <c r="G8">
        <v>57379.6</v>
      </c>
      <c r="I8" s="2" t="s">
        <v>20</v>
      </c>
      <c r="J8">
        <v>83676.416666666672</v>
      </c>
    </row>
    <row r="9" spans="2:10" x14ac:dyDescent="0.3">
      <c r="B9" s="2" t="s">
        <v>19</v>
      </c>
      <c r="C9" s="9">
        <v>76520.5</v>
      </c>
      <c r="D9" s="9">
        <v>10</v>
      </c>
      <c r="F9" s="2" t="s">
        <v>13</v>
      </c>
      <c r="G9">
        <v>93332.46666666666</v>
      </c>
      <c r="I9" s="2" t="s">
        <v>11</v>
      </c>
      <c r="J9">
        <v>86258.210526315786</v>
      </c>
    </row>
    <row r="10" spans="2:10" x14ac:dyDescent="0.3">
      <c r="B10" s="2" t="s">
        <v>10</v>
      </c>
      <c r="C10" s="9">
        <v>96430.846153846156</v>
      </c>
      <c r="D10" s="9">
        <v>13</v>
      </c>
      <c r="F10" s="2" t="s">
        <v>21</v>
      </c>
      <c r="G10">
        <v>67482.333333333328</v>
      </c>
      <c r="I10" s="2" t="s">
        <v>23</v>
      </c>
      <c r="J10">
        <v>72944.100000000006</v>
      </c>
    </row>
    <row r="11" spans="2:10" x14ac:dyDescent="0.3">
      <c r="B11" s="2" t="s">
        <v>15</v>
      </c>
      <c r="C11" s="9">
        <v>84239.9</v>
      </c>
      <c r="D11" s="9">
        <v>10</v>
      </c>
      <c r="F11" s="2" t="s">
        <v>28</v>
      </c>
      <c r="G11">
        <v>75531.71428571429</v>
      </c>
      <c r="I11" s="2" t="s">
        <v>76</v>
      </c>
      <c r="J11">
        <v>82288.800000000003</v>
      </c>
    </row>
    <row r="12" spans="2:10" x14ac:dyDescent="0.3">
      <c r="B12" s="2" t="s">
        <v>76</v>
      </c>
      <c r="C12" s="9">
        <v>82288.800000000003</v>
      </c>
      <c r="D12" s="9">
        <v>50</v>
      </c>
      <c r="F12" s="2" t="s">
        <v>76</v>
      </c>
      <c r="G12">
        <v>82288.800000000003</v>
      </c>
    </row>
    <row r="14" spans="2:10" x14ac:dyDescent="0.3">
      <c r="B14" s="2" t="s">
        <v>98</v>
      </c>
      <c r="F14" s="2" t="s">
        <v>100</v>
      </c>
      <c r="I14" s="1" t="s">
        <v>75</v>
      </c>
      <c r="J14" t="s">
        <v>78</v>
      </c>
    </row>
    <row r="15" spans="2:10" x14ac:dyDescent="0.3">
      <c r="B15" s="1" t="s">
        <v>75</v>
      </c>
      <c r="C15" t="s">
        <v>77</v>
      </c>
      <c r="F15" s="1" t="s">
        <v>75</v>
      </c>
      <c r="G15" t="s">
        <v>78</v>
      </c>
      <c r="I15" s="2" t="s">
        <v>96</v>
      </c>
      <c r="J15">
        <v>95489.888888888891</v>
      </c>
    </row>
    <row r="16" spans="2:10" x14ac:dyDescent="0.3">
      <c r="B16" s="2" t="s">
        <v>27</v>
      </c>
      <c r="C16">
        <v>672619</v>
      </c>
      <c r="F16" s="2" t="s">
        <v>12</v>
      </c>
      <c r="G16">
        <v>87306.185185185182</v>
      </c>
      <c r="I16" s="2" t="s">
        <v>93</v>
      </c>
      <c r="J16">
        <v>84917.107142857145</v>
      </c>
    </row>
    <row r="17" spans="2:10" x14ac:dyDescent="0.3">
      <c r="B17" s="2" t="s">
        <v>43</v>
      </c>
      <c r="C17">
        <v>580616</v>
      </c>
      <c r="F17" s="2" t="s">
        <v>24</v>
      </c>
      <c r="G17">
        <v>76398.826086956527</v>
      </c>
      <c r="I17" s="2" t="s">
        <v>95</v>
      </c>
      <c r="J17">
        <v>70403.625</v>
      </c>
    </row>
    <row r="18" spans="2:10" x14ac:dyDescent="0.3">
      <c r="B18" s="2" t="s">
        <v>19</v>
      </c>
      <c r="C18">
        <v>765205</v>
      </c>
      <c r="F18" s="2" t="s">
        <v>76</v>
      </c>
      <c r="G18">
        <v>82288.800000000003</v>
      </c>
      <c r="I18" s="2" t="s">
        <v>94</v>
      </c>
      <c r="J18">
        <v>62824.6</v>
      </c>
    </row>
    <row r="19" spans="2:10" x14ac:dyDescent="0.3">
      <c r="B19" s="2" t="s">
        <v>10</v>
      </c>
      <c r="C19">
        <v>1253601</v>
      </c>
      <c r="I19" s="2" t="s">
        <v>76</v>
      </c>
      <c r="J19">
        <v>82288.800000000003</v>
      </c>
    </row>
    <row r="20" spans="2:10" x14ac:dyDescent="0.3">
      <c r="B20" s="2" t="s">
        <v>15</v>
      </c>
      <c r="C20">
        <v>842399</v>
      </c>
    </row>
    <row r="21" spans="2:10" x14ac:dyDescent="0.3">
      <c r="B21" s="2" t="s">
        <v>76</v>
      </c>
      <c r="C21">
        <v>4114440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5CC881-3C3D-48E6-B16A-5735FBD98A5C}">
  <dimension ref="B2:M26"/>
  <sheetViews>
    <sheetView workbookViewId="0">
      <selection activeCell="C13" activeCellId="5" sqref="G4:G8 I4:I8 M4:M8 L13:L16 G13:G15 C13:C14"/>
    </sheetView>
  </sheetViews>
  <sheetFormatPr defaultRowHeight="14.4" x14ac:dyDescent="0.3"/>
  <cols>
    <col min="2" max="2" width="17.88671875" customWidth="1"/>
    <col min="3" max="3" width="14.88671875" customWidth="1"/>
    <col min="6" max="6" width="18.109375" customWidth="1"/>
    <col min="7" max="7" width="13.44140625" customWidth="1"/>
    <col min="8" max="8" width="10.21875" customWidth="1"/>
    <col min="9" max="9" width="12.33203125" bestFit="1" customWidth="1"/>
    <col min="10" max="10" width="12.33203125" customWidth="1"/>
    <col min="11" max="11" width="15.88671875" customWidth="1"/>
    <col min="12" max="12" width="12.33203125" customWidth="1"/>
    <col min="13" max="13" width="13.109375" customWidth="1"/>
  </cols>
  <sheetData>
    <row r="2" spans="2:13" x14ac:dyDescent="0.3">
      <c r="B2" t="s">
        <v>109</v>
      </c>
      <c r="F2" t="s">
        <v>110</v>
      </c>
      <c r="L2" t="s">
        <v>114</v>
      </c>
    </row>
    <row r="3" spans="2:13" ht="25.2" customHeight="1" x14ac:dyDescent="0.3">
      <c r="B3" s="3" t="s">
        <v>102</v>
      </c>
      <c r="C3" s="3" t="s">
        <v>103</v>
      </c>
      <c r="F3" s="3" t="s">
        <v>2</v>
      </c>
      <c r="G3" s="3" t="s">
        <v>111</v>
      </c>
      <c r="H3" s="3" t="s">
        <v>112</v>
      </c>
      <c r="I3" s="3" t="s">
        <v>113</v>
      </c>
      <c r="J3" s="3"/>
      <c r="L3" s="3" t="s">
        <v>7</v>
      </c>
      <c r="M3" s="3" t="s">
        <v>111</v>
      </c>
    </row>
    <row r="4" spans="2:13" x14ac:dyDescent="0.3">
      <c r="B4" s="4" t="s">
        <v>104</v>
      </c>
      <c r="C4" s="4">
        <v>50</v>
      </c>
      <c r="F4" s="4" t="s">
        <v>43</v>
      </c>
      <c r="G4" s="16">
        <f>AVERAGEIF(tblEmployee[Department],"HR",tblEmployee[Monthly_Salary])</f>
        <v>82945.142857142855</v>
      </c>
      <c r="H4" s="4">
        <f>COUNTIF(tblEmployee[Department],"HR")</f>
        <v>7</v>
      </c>
      <c r="I4" s="16">
        <f>SUMIF(tblEmployee[Department],"HR",tblEmployee[Monthly_Salary])</f>
        <v>580616</v>
      </c>
      <c r="J4" s="7"/>
      <c r="L4" s="4" t="s">
        <v>17</v>
      </c>
      <c r="M4" s="16">
        <f>AVERAGEIF(tblEmployee[City],"Bangalore",tblEmployee[Monthly_Salary])</f>
        <v>99004.090909090912</v>
      </c>
    </row>
    <row r="5" spans="2:13" x14ac:dyDescent="0.3">
      <c r="B5" s="4" t="s">
        <v>105</v>
      </c>
      <c r="C5" s="17">
        <f>SUM(tblEmployee[Monthly_Salary])</f>
        <v>4114440</v>
      </c>
      <c r="F5" s="4" t="s">
        <v>19</v>
      </c>
      <c r="G5" s="16">
        <f>AVERAGEIF(tblEmployee[Department],"IT",tblEmployee[Monthly_Salary])</f>
        <v>76520.5</v>
      </c>
      <c r="H5" s="4">
        <f>COUNTIF(tblEmployee[Department],"IT")</f>
        <v>10</v>
      </c>
      <c r="I5" s="16">
        <f>SUMIF(tblEmployee[Department],"IT",tblEmployee[Monthly_Salary])</f>
        <v>765205</v>
      </c>
      <c r="J5" s="7"/>
      <c r="L5" s="4" t="s">
        <v>13</v>
      </c>
      <c r="M5" s="16">
        <f>AVERAGEIF(tblEmployee[City],"Delhi",tblEmployee[Monthly_Salary])</f>
        <v>93332.46666666666</v>
      </c>
    </row>
    <row r="6" spans="2:13" x14ac:dyDescent="0.3">
      <c r="B6" s="4" t="s">
        <v>83</v>
      </c>
      <c r="C6" s="17">
        <f>AVERAGE(tblEmployee[Monthly_Salary])</f>
        <v>82288.800000000003</v>
      </c>
      <c r="F6" s="4" t="s">
        <v>27</v>
      </c>
      <c r="G6" s="16">
        <f>AVERAGEIF(tblEmployee[Department],"Finance",tblEmployee[Monthly_Salary])</f>
        <v>67261.899999999994</v>
      </c>
      <c r="H6" s="4">
        <f>COUNTIF(tblEmployee[Department],"Finance")</f>
        <v>10</v>
      </c>
      <c r="I6" s="16">
        <f>SUMIF(tblEmployee[Department],"Finance",tblEmployee[Monthly_Salary])</f>
        <v>672619</v>
      </c>
      <c r="J6" s="7"/>
      <c r="L6" s="4" t="s">
        <v>28</v>
      </c>
      <c r="M6" s="16">
        <f>AVERAGEIF(tblEmployee[City],"Mumbai",tblEmployee[Monthly_Salary])</f>
        <v>75531.71428571429</v>
      </c>
    </row>
    <row r="7" spans="2:13" x14ac:dyDescent="0.3">
      <c r="B7" s="4" t="s">
        <v>106</v>
      </c>
      <c r="C7" s="17">
        <f>MAX(tblEmployee[Monthly_Salary])</f>
        <v>149123</v>
      </c>
      <c r="F7" s="4" t="s">
        <v>10</v>
      </c>
      <c r="G7" s="16">
        <f>AVERAGEIF(tblEmployee[Department],"Marketing",tblEmployee[Monthly_Salary])</f>
        <v>96430.846153846156</v>
      </c>
      <c r="H7" s="4">
        <f>COUNTIF(tblEmployee[Department],"Marketing")</f>
        <v>13</v>
      </c>
      <c r="I7" s="16">
        <f>SUMIF(tblEmployee[Department],"Marketing",tblEmployee[Monthly_Salary])</f>
        <v>1253601</v>
      </c>
      <c r="J7" s="7"/>
      <c r="L7" s="4" t="s">
        <v>41</v>
      </c>
      <c r="M7" s="16">
        <f>AVERAGEIF(tblEmployee[City],"Chennai",tblEmployee[Monthly_Salary])</f>
        <v>57379.6</v>
      </c>
    </row>
    <row r="8" spans="2:13" x14ac:dyDescent="0.3">
      <c r="B8" s="4" t="s">
        <v>107</v>
      </c>
      <c r="C8" s="17">
        <f>MIN(tblEmployee[Monthly_Salary])</f>
        <v>28420</v>
      </c>
      <c r="F8" s="4" t="s">
        <v>15</v>
      </c>
      <c r="G8" s="16">
        <f>AVERAGEIF(tblEmployee[Department],"Operations",tblEmployee[Monthly_Salary])</f>
        <v>84239.9</v>
      </c>
      <c r="H8" s="4">
        <f>COUNTIF(tblEmployee[Department],"Operations")</f>
        <v>10</v>
      </c>
      <c r="I8" s="16">
        <f>SUMIF(tblEmployee[Department],"Operations",tblEmployee[Monthly_Salary])</f>
        <v>842399</v>
      </c>
      <c r="J8" s="7"/>
      <c r="L8" s="4" t="s">
        <v>21</v>
      </c>
      <c r="M8" s="16">
        <f>AVERAGEIF(tblEmployee[City],"Hyderabad",tblEmployee[Monthly_Salary])</f>
        <v>67482.333333333328</v>
      </c>
    </row>
    <row r="9" spans="2:13" x14ac:dyDescent="0.3">
      <c r="B9" s="4" t="s">
        <v>108</v>
      </c>
      <c r="C9" s="4">
        <f>AVERAGE(tblEmployee[Experience_Years])</f>
        <v>9.9</v>
      </c>
    </row>
    <row r="11" spans="2:13" x14ac:dyDescent="0.3">
      <c r="B11" t="s">
        <v>115</v>
      </c>
      <c r="F11" t="s">
        <v>127</v>
      </c>
      <c r="K11" t="s">
        <v>128</v>
      </c>
    </row>
    <row r="12" spans="2:13" x14ac:dyDescent="0.3">
      <c r="B12" s="3" t="s">
        <v>6</v>
      </c>
      <c r="C12" s="3" t="s">
        <v>111</v>
      </c>
      <c r="F12" s="3" t="s">
        <v>116</v>
      </c>
      <c r="G12" s="3" t="s">
        <v>111</v>
      </c>
      <c r="K12" s="3" t="s">
        <v>119</v>
      </c>
      <c r="L12" s="3" t="s">
        <v>111</v>
      </c>
    </row>
    <row r="13" spans="2:13" x14ac:dyDescent="0.3">
      <c r="B13" s="4" t="s">
        <v>24</v>
      </c>
      <c r="C13" s="16">
        <f>AVERAGEIF(tblEmployee[Gender],"Male",tblEmployee[Monthly_Salary])</f>
        <v>76398.826086956527</v>
      </c>
      <c r="F13" s="4" t="s">
        <v>117</v>
      </c>
      <c r="G13" s="16">
        <f>AVERAGEIF(tblEmployee[Education_Level],"Bachelor",tblEmployee[Monthly_Salary])</f>
        <v>82441.777777777781</v>
      </c>
      <c r="K13" s="4" t="s">
        <v>94</v>
      </c>
      <c r="L13" s="16">
        <f>AVERAGEIF(tblEmployee[Experience_Group],"Junior",tblEmployee[Monthly_Salary])</f>
        <v>62824.6</v>
      </c>
    </row>
    <row r="14" spans="2:13" x14ac:dyDescent="0.3">
      <c r="B14" s="4" t="s">
        <v>12</v>
      </c>
      <c r="C14" s="16">
        <f>AVERAGEIF(tblEmployee[Gender],"Female",tblEmployee[Monthly_Salary])</f>
        <v>87306.185185185182</v>
      </c>
      <c r="F14" s="4" t="s">
        <v>118</v>
      </c>
      <c r="G14" s="16">
        <f>AVERAGEIF(tblEmployee[Education_Level],"Master",tblEmployee[Monthly_Salary])</f>
        <v>86258.210526315786</v>
      </c>
      <c r="K14" s="4" t="s">
        <v>95</v>
      </c>
      <c r="L14" s="16">
        <f>AVERAGEIF(tblEmployee[Experience_Group],"Mid-Level",tblEmployee[Monthly_Salary])</f>
        <v>70403.625</v>
      </c>
    </row>
    <row r="15" spans="2:13" x14ac:dyDescent="0.3">
      <c r="F15" s="4" t="s">
        <v>23</v>
      </c>
      <c r="G15" s="16">
        <f>AVERAGEIF(tblEmployee[Education_Level],"PhD",tblEmployee[Monthly_Salary])</f>
        <v>72944.100000000006</v>
      </c>
      <c r="K15" s="4" t="s">
        <v>96</v>
      </c>
      <c r="L15" s="16">
        <f>AVERAGEIF(tblEmployee[Experience_Group],"Senior",tblEmployee[Monthly_Salary])</f>
        <v>95489.888888888891</v>
      </c>
    </row>
    <row r="16" spans="2:13" x14ac:dyDescent="0.3">
      <c r="K16" s="4" t="s">
        <v>93</v>
      </c>
      <c r="L16" s="16">
        <f>AVERAGEIF(tblEmployee[Experience_Group],"Expert",tblEmployee[Monthly_Salary])</f>
        <v>84917.107142857145</v>
      </c>
    </row>
    <row r="20" spans="2:5" x14ac:dyDescent="0.3">
      <c r="B20" t="s">
        <v>129</v>
      </c>
    </row>
    <row r="21" spans="2:5" x14ac:dyDescent="0.3">
      <c r="B21" s="3" t="s">
        <v>120</v>
      </c>
      <c r="C21" s="3" t="s">
        <v>121</v>
      </c>
    </row>
    <row r="22" spans="2:5" x14ac:dyDescent="0.3">
      <c r="B22" s="4">
        <v>1</v>
      </c>
      <c r="C22" s="8" t="s">
        <v>122</v>
      </c>
      <c r="D22" s="8"/>
      <c r="E22" s="8"/>
    </row>
    <row r="23" spans="2:5" x14ac:dyDescent="0.3">
      <c r="B23" s="4">
        <v>2</v>
      </c>
      <c r="C23" s="8" t="s">
        <v>123</v>
      </c>
      <c r="D23" s="8"/>
      <c r="E23" s="8"/>
    </row>
    <row r="24" spans="2:5" x14ac:dyDescent="0.3">
      <c r="B24" s="4">
        <v>3</v>
      </c>
      <c r="C24" s="8" t="s">
        <v>124</v>
      </c>
      <c r="D24" s="8"/>
      <c r="E24" s="8"/>
    </row>
    <row r="25" spans="2:5" x14ac:dyDescent="0.3">
      <c r="B25" s="4">
        <v>4</v>
      </c>
      <c r="C25" s="8" t="s">
        <v>125</v>
      </c>
      <c r="D25" s="8"/>
      <c r="E25" s="8"/>
    </row>
    <row r="26" spans="2:5" x14ac:dyDescent="0.3">
      <c r="B26" s="4">
        <v>5</v>
      </c>
      <c r="C26" s="8" t="s">
        <v>126</v>
      </c>
      <c r="D26" s="8"/>
      <c r="E26" s="8"/>
    </row>
  </sheetData>
  <mergeCells count="5">
    <mergeCell ref="C22:E22"/>
    <mergeCell ref="C23:E23"/>
    <mergeCell ref="C24:E24"/>
    <mergeCell ref="C25:E25"/>
    <mergeCell ref="C26:E26"/>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B4E0EE-B674-4E7B-A16B-B74B363BC95A}">
  <dimension ref="A1:X6"/>
  <sheetViews>
    <sheetView showGridLines="0" showRowColHeaders="0" tabSelected="1" topLeftCell="A2" zoomScale="90" zoomScaleNormal="90" workbookViewId="0">
      <selection activeCell="Y22" sqref="Y22"/>
    </sheetView>
  </sheetViews>
  <sheetFormatPr defaultRowHeight="14.4" x14ac:dyDescent="0.3"/>
  <sheetData>
    <row r="1" spans="1:24" ht="15" thickBot="1" x14ac:dyDescent="0.35"/>
    <row r="2" spans="1:24" ht="31.2" x14ac:dyDescent="0.6">
      <c r="A2" s="10" t="s">
        <v>130</v>
      </c>
      <c r="B2" s="10"/>
      <c r="C2" s="10"/>
      <c r="D2" s="10"/>
      <c r="E2" s="10"/>
      <c r="F2" s="10"/>
      <c r="G2" s="10"/>
      <c r="H2" s="10"/>
      <c r="I2" s="10"/>
      <c r="J2" s="10"/>
      <c r="K2" s="10"/>
      <c r="L2" s="10"/>
      <c r="M2" s="18" t="s">
        <v>104</v>
      </c>
      <c r="N2" s="19"/>
      <c r="O2" s="18" t="s">
        <v>105</v>
      </c>
      <c r="P2" s="19"/>
      <c r="Q2" s="18" t="s">
        <v>83</v>
      </c>
      <c r="R2" s="19"/>
      <c r="S2" s="18" t="s">
        <v>106</v>
      </c>
      <c r="T2" s="19"/>
      <c r="U2" s="18" t="s">
        <v>107</v>
      </c>
      <c r="V2" s="19"/>
      <c r="W2" s="18" t="s">
        <v>132</v>
      </c>
      <c r="X2" s="19"/>
    </row>
    <row r="3" spans="1:24" ht="18.600000000000001" thickBot="1" x14ac:dyDescent="0.4">
      <c r="A3" s="11" t="s">
        <v>131</v>
      </c>
      <c r="B3" s="11"/>
      <c r="C3" s="11"/>
      <c r="D3" s="11"/>
      <c r="E3" s="11"/>
      <c r="F3" s="11"/>
      <c r="G3" s="11"/>
      <c r="H3" s="11"/>
      <c r="I3" s="11"/>
      <c r="J3" s="11"/>
      <c r="K3" s="11"/>
      <c r="L3" s="11"/>
      <c r="M3" s="20">
        <f>Dashboard_Data!C4</f>
        <v>50</v>
      </c>
      <c r="N3" s="21"/>
      <c r="O3" s="22">
        <f>Dashboard_Data!C5</f>
        <v>4114440</v>
      </c>
      <c r="P3" s="23"/>
      <c r="Q3" s="22">
        <f>Dashboard_Data!C6</f>
        <v>82288.800000000003</v>
      </c>
      <c r="R3" s="23"/>
      <c r="S3" s="22">
        <f>Dashboard_Data!C7</f>
        <v>149123</v>
      </c>
      <c r="T3" s="23"/>
      <c r="U3" s="22">
        <f>Dashboard_Data!C8</f>
        <v>28420</v>
      </c>
      <c r="V3" s="23"/>
      <c r="W3" s="20">
        <f>Dashboard_Data!C9</f>
        <v>9.9</v>
      </c>
      <c r="X3" s="21"/>
    </row>
    <row r="5" spans="1:24" ht="18" x14ac:dyDescent="0.35">
      <c r="E5" s="12"/>
      <c r="F5" s="13"/>
      <c r="G5" s="14"/>
      <c r="H5" s="12"/>
      <c r="I5" s="14"/>
      <c r="J5" s="14"/>
      <c r="K5" s="12"/>
      <c r="L5" s="14"/>
      <c r="M5" s="14"/>
      <c r="N5" s="12"/>
      <c r="O5" s="14"/>
      <c r="P5" s="14"/>
      <c r="Q5" s="12"/>
      <c r="R5" s="14"/>
      <c r="S5" s="14"/>
      <c r="T5" s="12"/>
    </row>
    <row r="6" spans="1:24" ht="18" x14ac:dyDescent="0.35">
      <c r="E6" s="12"/>
      <c r="F6" s="14"/>
      <c r="G6" s="14"/>
      <c r="H6" s="15"/>
      <c r="I6" s="14"/>
      <c r="J6" s="14"/>
      <c r="K6" s="15"/>
      <c r="L6" s="14"/>
      <c r="M6" s="14"/>
      <c r="N6" s="15"/>
      <c r="O6" s="14"/>
      <c r="P6" s="14"/>
      <c r="Q6" s="15"/>
      <c r="R6" s="14"/>
      <c r="S6" s="14"/>
      <c r="T6" s="12"/>
    </row>
  </sheetData>
  <mergeCells count="12">
    <mergeCell ref="W3:X3"/>
    <mergeCell ref="U3:V3"/>
    <mergeCell ref="S3:T3"/>
    <mergeCell ref="Q3:R3"/>
    <mergeCell ref="O3:P3"/>
    <mergeCell ref="W2:X2"/>
    <mergeCell ref="U2:V2"/>
    <mergeCell ref="S2:T2"/>
    <mergeCell ref="Q2:R2"/>
    <mergeCell ref="O2:P2"/>
    <mergeCell ref="M2:N2"/>
    <mergeCell ref="M3:N3"/>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employee_salary_dataset</vt:lpstr>
      <vt:lpstr>Raw_Data</vt:lpstr>
      <vt:lpstr>Data Audit</vt:lpstr>
      <vt:lpstr>Data Dictionary</vt:lpstr>
      <vt:lpstr>Exploratory analysis sheet</vt:lpstr>
      <vt:lpstr>Dashboard_Data</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Sneha Giri</dc:creator>
  <cp:lastModifiedBy>Sneha Giri</cp:lastModifiedBy>
  <dcterms:created xsi:type="dcterms:W3CDTF">2026-06-01T18:06:05Z</dcterms:created>
  <dcterms:modified xsi:type="dcterms:W3CDTF">2026-06-02T16:02:12Z</dcterms:modified>
</cp:coreProperties>
</file>